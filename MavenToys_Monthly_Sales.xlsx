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C:\Users\Bushr\Documents\datasets\Excel Course datasets\Excel+Dashboard+Datasets\"/>
    </mc:Choice>
  </mc:AlternateContent>
  <xr:revisionPtr revIDLastSave="0" documentId="13_ncr:1_{101B1AE2-BA28-4770-9D0E-E72D9F22B1AE}" xr6:coauthVersionLast="47" xr6:coauthVersionMax="47" xr10:uidLastSave="{00000000-0000-0000-0000-000000000000}"/>
  <bookViews>
    <workbookView xWindow="-110" yWindow="-110" windowWidth="19420" windowHeight="10300" activeTab="2" xr2:uid="{EA944FB1-DE3F-40F9-BBAA-0980B1568DEE}"/>
  </bookViews>
  <sheets>
    <sheet name="Data" sheetId="16" r:id="rId1"/>
    <sheet name="Data Prep" sheetId="22" r:id="rId2"/>
    <sheet name="Dashboard" sheetId="23" r:id="rId3"/>
    <sheet name="New Data (Aug 2021)" sheetId="21" r:id="rId4"/>
    <sheet name="New Data (Sep 2021)" sheetId="18" r:id="rId5"/>
  </sheets>
  <definedNames>
    <definedName name="_xlnm._FilterDatabase" localSheetId="0" hidden="1">Data!$A$1:$J$4266</definedName>
    <definedName name="CurMonth">'Data Prep'!$B$9</definedName>
    <definedName name="CurYear">'Data Prep'!$B$8</definedName>
    <definedName name="PMyear">'Data Prep'!$B$12</definedName>
    <definedName name="PrevMonth">'Data Prep'!$B$11</definedName>
    <definedName name="PrevYear">'Data Prep'!$B$10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2" l="1"/>
  <c r="F6" i="23" s="1"/>
  <c r="M4" i="22"/>
  <c r="M5" i="22"/>
  <c r="M6" i="22"/>
  <c r="M7" i="22"/>
  <c r="M8" i="22"/>
  <c r="M9" i="22"/>
  <c r="M10" i="22"/>
  <c r="M11" i="22"/>
  <c r="M12" i="22"/>
  <c r="M3" i="22"/>
  <c r="B3" i="22"/>
  <c r="Q4" i="22" s="1"/>
  <c r="AC12" i="22"/>
  <c r="AC2" i="22"/>
  <c r="B8" i="22"/>
  <c r="B10" i="22" s="1"/>
  <c r="I2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R5" i="22" l="1"/>
  <c r="R11" i="22"/>
  <c r="R10" i="22"/>
  <c r="R3" i="22"/>
  <c r="R12" i="22"/>
  <c r="R9" i="22"/>
  <c r="R8" i="22"/>
  <c r="R7" i="22"/>
  <c r="R6" i="22"/>
  <c r="R4" i="22"/>
  <c r="Q7" i="22"/>
  <c r="Q11" i="22"/>
  <c r="Q10" i="22"/>
  <c r="Q6" i="22"/>
  <c r="Q3" i="22"/>
  <c r="Q9" i="22"/>
  <c r="Q5" i="22"/>
  <c r="Q12" i="22"/>
  <c r="Q8" i="22"/>
  <c r="I4" i="22"/>
  <c r="I9" i="22"/>
  <c r="I13" i="22"/>
  <c r="I11" i="22"/>
  <c r="I5" i="22"/>
  <c r="I14" i="22"/>
  <c r="I8" i="22"/>
  <c r="I6" i="22"/>
  <c r="I10" i="22"/>
  <c r="I7" i="22"/>
  <c r="I3" i="22"/>
  <c r="I12" i="22"/>
  <c r="B9" i="22"/>
  <c r="U7" i="22" s="1"/>
  <c r="J2" i="22"/>
  <c r="U33" i="22" l="1"/>
  <c r="U15" i="22"/>
  <c r="U11" i="22"/>
  <c r="U8" i="22"/>
  <c r="J4" i="22"/>
  <c r="U36" i="22"/>
  <c r="U22" i="22"/>
  <c r="U24" i="22"/>
  <c r="U28" i="22"/>
  <c r="U5" i="22"/>
  <c r="U20" i="22"/>
  <c r="U32" i="22"/>
  <c r="U3" i="22"/>
  <c r="U18" i="22"/>
  <c r="U19" i="22"/>
  <c r="U31" i="22"/>
  <c r="AY19" i="16"/>
  <c r="N12" i="22"/>
  <c r="J11" i="22"/>
  <c r="J10" i="22"/>
  <c r="N10" i="22"/>
  <c r="J12" i="22"/>
  <c r="N4" i="22"/>
  <c r="N7" i="22"/>
  <c r="J13" i="22"/>
  <c r="N6" i="22"/>
  <c r="N5" i="22"/>
  <c r="J14" i="22"/>
  <c r="N3" i="22"/>
  <c r="N8" i="22"/>
  <c r="N9" i="22"/>
  <c r="N11" i="22"/>
  <c r="U9" i="22"/>
  <c r="U26" i="22"/>
  <c r="U4" i="22"/>
  <c r="U30" i="22"/>
  <c r="J7" i="22"/>
  <c r="U21" i="22"/>
  <c r="U12" i="22"/>
  <c r="U10" i="22"/>
  <c r="U17" i="22"/>
  <c r="J5" i="22"/>
  <c r="U13" i="22"/>
  <c r="U29" i="22"/>
  <c r="J6" i="22"/>
  <c r="J3" i="22"/>
  <c r="U35" i="22"/>
  <c r="U16" i="22"/>
  <c r="U14" i="22"/>
  <c r="U6" i="22"/>
  <c r="J9" i="22"/>
  <c r="U34" i="22"/>
  <c r="U25" i="22"/>
  <c r="U27" i="22"/>
  <c r="U23" i="22"/>
  <c r="J8" i="22"/>
  <c r="AY4" i="16"/>
  <c r="AY46" i="16"/>
  <c r="AY15" i="16"/>
  <c r="AY30" i="16"/>
  <c r="AY50" i="16"/>
  <c r="AY14" i="16"/>
  <c r="AY44" i="16"/>
  <c r="AY3" i="16"/>
  <c r="AY17" i="16"/>
  <c r="AY36" i="16"/>
  <c r="AY47" i="16"/>
  <c r="B11" i="22"/>
  <c r="B12" i="22"/>
  <c r="E2" i="22"/>
  <c r="E3" i="22"/>
  <c r="AY13" i="16"/>
  <c r="AY33" i="16"/>
  <c r="AY16" i="16"/>
  <c r="AY41" i="16"/>
  <c r="AY24" i="16"/>
  <c r="AY43" i="16"/>
  <c r="AY6" i="16"/>
  <c r="AY37" i="16"/>
  <c r="AY39" i="16"/>
  <c r="AY11" i="16"/>
  <c r="AY10" i="16"/>
  <c r="AY34" i="16"/>
  <c r="AY9" i="16"/>
  <c r="AY22" i="16"/>
  <c r="AY32" i="16"/>
  <c r="AY21" i="16"/>
  <c r="AY29" i="16"/>
  <c r="AY7" i="16"/>
  <c r="AY5" i="16"/>
  <c r="AY25" i="16"/>
  <c r="AY18" i="16"/>
  <c r="AY20" i="16"/>
  <c r="AY51" i="16"/>
  <c r="AY38" i="16"/>
  <c r="AY8" i="16"/>
  <c r="AY35" i="16"/>
  <c r="AY42" i="16"/>
  <c r="AY40" i="16"/>
  <c r="AY48" i="16"/>
  <c r="AY52" i="16"/>
  <c r="AY49" i="16"/>
  <c r="AY26" i="16"/>
  <c r="AY23" i="16"/>
  <c r="AY12" i="16"/>
  <c r="AY45" i="16"/>
  <c r="AY27" i="16"/>
  <c r="AY28" i="16"/>
  <c r="AY31" i="16"/>
  <c r="O10" i="22" l="1"/>
  <c r="P10" i="22" s="1"/>
  <c r="O7" i="22"/>
  <c r="O5" i="22"/>
  <c r="P5" i="22" s="1"/>
  <c r="O3" i="22"/>
  <c r="P3" i="22" s="1"/>
  <c r="O8" i="22"/>
  <c r="O12" i="22"/>
  <c r="P12" i="22" s="1"/>
  <c r="O9" i="22"/>
  <c r="P9" i="22" s="1"/>
  <c r="O6" i="22"/>
  <c r="P6" i="22" s="1"/>
  <c r="O4" i="22"/>
  <c r="P4" i="22" s="1"/>
  <c r="O11" i="22"/>
  <c r="V4" i="22"/>
  <c r="W4" i="22" s="1"/>
  <c r="V35" i="22"/>
  <c r="W35" i="22" s="1"/>
  <c r="V17" i="22"/>
  <c r="W17" i="22" s="1"/>
  <c r="V7" i="22"/>
  <c r="W7" i="22" s="1"/>
  <c r="V29" i="22"/>
  <c r="W29" i="22" s="1"/>
  <c r="V20" i="22"/>
  <c r="W20" i="22" s="1"/>
  <c r="V32" i="22"/>
  <c r="W32" i="22" s="1"/>
  <c r="V10" i="22"/>
  <c r="W10" i="22" s="1"/>
  <c r="V23" i="22"/>
  <c r="W23" i="22" s="1"/>
  <c r="V22" i="22"/>
  <c r="W22" i="22" s="1"/>
  <c r="V21" i="22"/>
  <c r="W21" i="22" s="1"/>
  <c r="V26" i="22"/>
  <c r="W26" i="22" s="1"/>
  <c r="V15" i="22"/>
  <c r="W15" i="22" s="1"/>
  <c r="V13" i="22"/>
  <c r="W13" i="22" s="1"/>
  <c r="V36" i="22"/>
  <c r="W36" i="22" s="1"/>
  <c r="V28" i="22"/>
  <c r="W28" i="22" s="1"/>
  <c r="V12" i="22"/>
  <c r="W12" i="22" s="1"/>
  <c r="V5" i="22"/>
  <c r="W5" i="22" s="1"/>
  <c r="V25" i="22"/>
  <c r="W25" i="22" s="1"/>
  <c r="V34" i="22"/>
  <c r="W34" i="22" s="1"/>
  <c r="V11" i="22"/>
  <c r="W11" i="22" s="1"/>
  <c r="V31" i="22"/>
  <c r="W31" i="22" s="1"/>
  <c r="V30" i="22"/>
  <c r="W30" i="22" s="1"/>
  <c r="V33" i="22"/>
  <c r="W33" i="22" s="1"/>
  <c r="V18" i="22"/>
  <c r="W18" i="22" s="1"/>
  <c r="V27" i="22"/>
  <c r="W27" i="22" s="1"/>
  <c r="V9" i="22"/>
  <c r="W9" i="22" s="1"/>
  <c r="V14" i="22"/>
  <c r="W14" i="22" s="1"/>
  <c r="V24" i="22"/>
  <c r="W24" i="22" s="1"/>
  <c r="V19" i="22"/>
  <c r="W19" i="22" s="1"/>
  <c r="V16" i="22"/>
  <c r="W16" i="22" s="1"/>
  <c r="V8" i="22"/>
  <c r="W8" i="22" s="1"/>
  <c r="V6" i="22"/>
  <c r="W6" i="22" s="1"/>
  <c r="V3" i="22"/>
  <c r="W3" i="22" s="1"/>
  <c r="P7" i="22"/>
  <c r="P8" i="22"/>
  <c r="P11" i="22"/>
  <c r="E4" i="22"/>
  <c r="E6" i="22" s="1"/>
  <c r="E5" i="22"/>
  <c r="X7" i="22" l="1"/>
  <c r="Y34" i="22"/>
  <c r="X34" i="22"/>
  <c r="Y25" i="22"/>
  <c r="X25" i="22"/>
  <c r="X26" i="22"/>
  <c r="Y26" i="22"/>
  <c r="Y35" i="22"/>
  <c r="X4" i="22"/>
  <c r="X10" i="22"/>
  <c r="Y10" i="22"/>
  <c r="Y6" i="22"/>
  <c r="Y18" i="22"/>
  <c r="X18" i="22"/>
  <c r="X29" i="22"/>
  <c r="X22" i="22"/>
  <c r="Y29" i="22"/>
  <c r="X33" i="22"/>
  <c r="Y27" i="22"/>
  <c r="X35" i="22"/>
  <c r="Y21" i="22"/>
  <c r="Y12" i="22"/>
  <c r="Y14" i="22"/>
  <c r="Y7" i="22"/>
  <c r="X36" i="22"/>
  <c r="X14" i="22"/>
  <c r="Y11" i="22"/>
  <c r="Y8" i="22"/>
  <c r="X8" i="22"/>
  <c r="X9" i="22"/>
  <c r="Y28" i="22"/>
  <c r="Y16" i="22"/>
  <c r="X16" i="22"/>
  <c r="X30" i="22"/>
  <c r="Y30" i="22"/>
  <c r="Y32" i="22"/>
  <c r="X32" i="22"/>
  <c r="Y24" i="22"/>
  <c r="X19" i="22"/>
  <c r="Y19" i="22"/>
  <c r="Y31" i="22"/>
  <c r="X31" i="22"/>
  <c r="Y13" i="22"/>
  <c r="X13" i="22"/>
  <c r="X20" i="22"/>
  <c r="X6" i="22"/>
  <c r="Y33" i="22"/>
  <c r="Y3" i="22"/>
  <c r="X23" i="22"/>
  <c r="X28" i="22"/>
  <c r="X5" i="22"/>
  <c r="X3" i="22"/>
  <c r="Y15" i="22"/>
  <c r="Y4" i="22"/>
  <c r="Y20" i="22"/>
  <c r="X27" i="22"/>
  <c r="X24" i="22"/>
  <c r="Y22" i="22"/>
  <c r="Y23" i="22"/>
  <c r="X12" i="22"/>
  <c r="Y9" i="22"/>
  <c r="X17" i="22"/>
  <c r="X11" i="22"/>
  <c r="Y5" i="22"/>
  <c r="Y36" i="22"/>
  <c r="X15" i="22"/>
  <c r="Y17" i="22"/>
  <c r="X21" i="22"/>
  <c r="AE17" i="22" l="1"/>
  <c r="O26" i="23" s="1"/>
  <c r="AE16" i="22"/>
  <c r="O25" i="23" s="1"/>
  <c r="AD15" i="22"/>
  <c r="N24" i="23" s="1"/>
  <c r="AC13" i="22"/>
  <c r="M22" i="23" s="1"/>
  <c r="AD13" i="22"/>
  <c r="N22" i="23" s="1"/>
  <c r="AC17" i="22"/>
  <c r="M26" i="23" s="1"/>
  <c r="AC4" i="22"/>
  <c r="M13" i="23" s="1"/>
  <c r="AD16" i="22"/>
  <c r="N25" i="23" s="1"/>
  <c r="AC7" i="22"/>
  <c r="M16" i="23" s="1"/>
  <c r="AD17" i="22"/>
  <c r="N26" i="23" s="1"/>
  <c r="AE14" i="22"/>
  <c r="O23" i="23" s="1"/>
  <c r="AC15" i="22"/>
  <c r="M24" i="23" s="1"/>
  <c r="AD14" i="22"/>
  <c r="N23" i="23" s="1"/>
  <c r="AE5" i="22"/>
  <c r="O14" i="23" s="1"/>
  <c r="AC16" i="22"/>
  <c r="M25" i="23" s="1"/>
  <c r="AE4" i="22"/>
  <c r="O13" i="23" s="1"/>
  <c r="AC14" i="22"/>
  <c r="M23" i="23" s="1"/>
  <c r="AC6" i="22"/>
  <c r="M15" i="23" s="1"/>
  <c r="AC5" i="22"/>
  <c r="M14" i="23" s="1"/>
  <c r="AE7" i="22"/>
  <c r="O16" i="23" s="1"/>
  <c r="AD5" i="22"/>
  <c r="N14" i="23" s="1"/>
  <c r="AE6" i="22"/>
  <c r="O15" i="23" s="1"/>
  <c r="AD4" i="22"/>
  <c r="N13" i="23" s="1"/>
  <c r="AC3" i="22"/>
  <c r="M12" i="23" s="1"/>
  <c r="AD3" i="22"/>
  <c r="N12" i="23" s="1"/>
  <c r="AE15" i="22"/>
  <c r="O24" i="23" s="1"/>
  <c r="AD6" i="22"/>
  <c r="N15" i="23" s="1"/>
  <c r="AD7" i="22"/>
  <c r="N16" i="23" s="1"/>
  <c r="AE3" i="22"/>
  <c r="O12" i="23" s="1"/>
  <c r="AE13" i="22"/>
  <c r="O22" i="23" s="1"/>
  <c r="O27" i="23" l="1"/>
  <c r="O17" i="23"/>
</calcChain>
</file>

<file path=xl/sharedStrings.xml><?xml version="1.0" encoding="utf-8"?>
<sst xmlns="http://schemas.openxmlformats.org/spreadsheetml/2006/main" count="24211" uniqueCount="135">
  <si>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</si>
  <si>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</si>
  <si>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</si>
  <si>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</si>
  <si>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</si>
  <si>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</si>
  <si>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</si>
  <si>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</si>
  <si>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</si>
  <si>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</si>
  <si>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</si>
  <si>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</si>
  <si>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</si>
  <si>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</si>
  <si>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</si>
  <si>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</si>
  <si>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</si>
  <si>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</si>
  <si>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</si>
  <si>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</si>
  <si>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</si>
  <si>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</si>
  <si>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</si>
  <si>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</si>
  <si>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</si>
  <si>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</si>
  <si>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</si>
  <si>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</si>
  <si>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</si>
  <si>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</si>
  <si>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</si>
  <si>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</si>
  <si>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</si>
  <si>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</si>
  <si>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</si>
  <si>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</si>
  <si>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</si>
  <si>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</si>
  <si>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</si>
  <si>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</si>
  <si>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</si>
  <si>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</si>
  <si>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</si>
  <si>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</si>
  <si>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</si>
  <si>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</si>
  <si>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</si>
  <si>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</si>
  <si>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</si>
  <si>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</si>
  <si>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</si>
  <si>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</si>
  <si>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</si>
  <si>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</si>
  <si>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</si>
  <si>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</si>
  <si>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</si>
  <si>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</si>
  <si>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</si>
  <si>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</si>
  <si>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</si>
  <si>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</si>
  <si>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</si>
  <si>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</si>
  <si>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</si>
  <si>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</si>
  <si>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</si>
  <si>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</si>
  <si>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</si>
  <si>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</si>
  <si>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</si>
  <si>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</si>
  <si>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</si>
  <si>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</si>
  <si>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</si>
  <si>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Selection</t>
  </si>
  <si>
    <t>REGION FILTER</t>
  </si>
  <si>
    <t>DATE FILTER</t>
  </si>
  <si>
    <t>Current Year</t>
  </si>
  <si>
    <t>Current Month</t>
  </si>
  <si>
    <t xml:space="preserve"> </t>
  </si>
  <si>
    <t>Previous Year</t>
  </si>
  <si>
    <t>Previous Month</t>
  </si>
  <si>
    <t>KPIs</t>
  </si>
  <si>
    <t>Total Revenue</t>
  </si>
  <si>
    <t>PrevYear Revenue</t>
  </si>
  <si>
    <t>PrevMonth Revenue</t>
  </si>
  <si>
    <t>PM Year</t>
  </si>
  <si>
    <r>
      <t>PY %</t>
    </r>
    <r>
      <rPr>
        <b/>
        <sz val="11"/>
        <color theme="1"/>
        <rFont val="Aptos Narrow"/>
        <family val="2"/>
      </rPr>
      <t>∆</t>
    </r>
    <r>
      <rPr>
        <b/>
        <sz val="11"/>
        <color theme="1"/>
        <rFont val="Calibri"/>
        <family val="2"/>
      </rPr>
      <t>:</t>
    </r>
  </si>
  <si>
    <r>
      <t>PM %</t>
    </r>
    <r>
      <rPr>
        <b/>
        <sz val="11"/>
        <color theme="1"/>
        <rFont val="Aptos Narrow"/>
        <family val="2"/>
      </rPr>
      <t>∆</t>
    </r>
    <r>
      <rPr>
        <b/>
        <sz val="11"/>
        <color theme="1"/>
        <rFont val="Calibri"/>
        <family val="2"/>
      </rPr>
      <t>:</t>
    </r>
  </si>
  <si>
    <t>REVENUE TREND</t>
  </si>
  <si>
    <t>Month#</t>
  </si>
  <si>
    <t>MonthINITIAL</t>
  </si>
  <si>
    <t>Jan</t>
  </si>
  <si>
    <t>Feb</t>
  </si>
  <si>
    <t>Mar</t>
  </si>
  <si>
    <t>April</t>
  </si>
  <si>
    <t>Apr</t>
  </si>
  <si>
    <t>May</t>
  </si>
  <si>
    <t>Jun</t>
  </si>
  <si>
    <t>Jul</t>
  </si>
  <si>
    <t>Aug</t>
  </si>
  <si>
    <t>Sep</t>
  </si>
  <si>
    <t>June</t>
  </si>
  <si>
    <t>Oct</t>
  </si>
  <si>
    <t>Nov</t>
  </si>
  <si>
    <t>Dec</t>
  </si>
  <si>
    <t>STORE PERFORMANCE</t>
  </si>
  <si>
    <t>Stores</t>
  </si>
  <si>
    <t>Prev Month Revenue</t>
  </si>
  <si>
    <r>
      <t>MoM %</t>
    </r>
    <r>
      <rPr>
        <b/>
        <sz val="11"/>
        <color theme="1"/>
        <rFont val="Aptos Narrow"/>
        <family val="2"/>
      </rPr>
      <t>∆</t>
    </r>
  </si>
  <si>
    <t>PRODUCT PERFORMANCE</t>
  </si>
  <si>
    <t>PM Revenue</t>
  </si>
  <si>
    <t>MoM ∆</t>
  </si>
  <si>
    <t>RANK (+)</t>
  </si>
  <si>
    <t>Rank (-)</t>
  </si>
  <si>
    <t>TOP PERFORMING PRODUCTS</t>
  </si>
  <si>
    <t>Rank</t>
  </si>
  <si>
    <t>Product</t>
  </si>
  <si>
    <t>BOTTOM PERFORMING PRODUCTS</t>
  </si>
  <si>
    <t>`</t>
  </si>
  <si>
    <r>
      <t xml:space="preserve">MoM </t>
    </r>
    <r>
      <rPr>
        <b/>
        <sz val="11"/>
        <color theme="1"/>
        <rFont val="Aptos Narrow"/>
        <family val="2"/>
      </rPr>
      <t>∆</t>
    </r>
  </si>
  <si>
    <t xml:space="preserve">How Did </t>
  </si>
  <si>
    <t>Month #</t>
  </si>
  <si>
    <t>January</t>
  </si>
  <si>
    <t>February</t>
  </si>
  <si>
    <t>March</t>
  </si>
  <si>
    <t>July</t>
  </si>
  <si>
    <t>August</t>
  </si>
  <si>
    <t>September</t>
  </si>
  <si>
    <t>October</t>
  </si>
  <si>
    <t>November</t>
  </si>
  <si>
    <t>December</t>
  </si>
  <si>
    <t xml:space="preserve">Current Period: </t>
  </si>
  <si>
    <t>Performed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</si>
</sst>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b/>
      <i/>
      <sz val="18"/>
      <color theme="1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0" fillId="0" borderId="1" xfId="0" applyFont="1" applyBorder="1"/>
    <xf numFmtId="0" fontId="5" fillId="5" borderId="0" xfId="0" applyFont="1" applyFill="1" applyAlignment="1">
      <alignment horizontal="centerContinuous"/>
    </xf>
    <xf numFmtId="0" fontId="1" fillId="0" borderId="0" xfId="0" applyFont="1"/>
    <xf numFmtId="0" fontId="1" fillId="6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5" fillId="7" borderId="0" xfId="0" applyFont="1" applyFill="1" applyAlignment="1">
      <alignment horizontal="centerContinuous"/>
    </xf>
    <xf numFmtId="165" fontId="1" fillId="8" borderId="0" xfId="0" applyNumberFormat="1" applyFont="1" applyFill="1" applyAlignment="1">
      <alignment horizontal="left" vertical="center"/>
    </xf>
    <xf numFmtId="0" fontId="1" fillId="9" borderId="0" xfId="0" applyFont="1" applyFill="1"/>
    <xf numFmtId="9" fontId="0" fillId="0" borderId="0" xfId="1" applyFont="1"/>
    <xf numFmtId="0" fontId="8" fillId="0" borderId="0" xfId="0" applyFont="1" applyAlignment="1">
      <alignment horizontal="left"/>
    </xf>
    <xf numFmtId="0" fontId="1" fillId="9" borderId="5" xfId="0" applyFont="1" applyFill="1" applyBorder="1"/>
    <xf numFmtId="0" fontId="1" fillId="9" borderId="6" xfId="0" applyFont="1" applyFill="1" applyBorder="1"/>
    <xf numFmtId="0" fontId="0" fillId="0" borderId="3" xfId="0" applyFont="1" applyBorder="1"/>
    <xf numFmtId="164" fontId="0" fillId="0" borderId="3" xfId="0" applyNumberFormat="1" applyFont="1" applyBorder="1" applyAlignment="1">
      <alignment horizontal="right"/>
    </xf>
    <xf numFmtId="164" fontId="0" fillId="0" borderId="4" xfId="0" applyNumberFormat="1" applyFont="1" applyBorder="1" applyAlignment="1">
      <alignment horizontal="right"/>
    </xf>
    <xf numFmtId="0" fontId="0" fillId="0" borderId="7" xfId="0" applyFont="1" applyBorder="1"/>
    <xf numFmtId="164" fontId="0" fillId="0" borderId="7" xfId="0" applyNumberFormat="1" applyFon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0" fillId="0" borderId="0" xfId="0" applyFont="1" applyBorder="1"/>
    <xf numFmtId="164" fontId="10" fillId="0" borderId="9" xfId="0" applyNumberFormat="1" applyFont="1" applyBorder="1"/>
    <xf numFmtId="164" fontId="11" fillId="0" borderId="9" xfId="0" applyNumberFormat="1" applyFont="1" applyBorder="1"/>
    <xf numFmtId="0" fontId="9" fillId="8" borderId="0" xfId="0" applyFont="1" applyFill="1" applyAlignment="1">
      <alignment horizontal="center" vertical="center"/>
    </xf>
    <xf numFmtId="0" fontId="9" fillId="10" borderId="0" xfId="0" applyFont="1" applyFill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5">
    <dxf>
      <font>
        <color theme="9"/>
      </font>
    </dxf>
    <dxf>
      <font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colors>
    <mruColors>
      <color rgb="FFFF6565"/>
      <color rgb="FFF98386"/>
      <color rgb="FFF9777A"/>
      <color rgb="FFFF4343"/>
      <color rgb="FFFF9595"/>
      <color rgb="FF20E2D7"/>
      <color rgb="FFF2F2F2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Prep'!$N$2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Prep'!$L$3:$L$12</c:f>
              <c:strCache>
                <c:ptCount val="10"/>
                <c:pt idx="0">
                  <c:v>Hollywood</c:v>
                </c:pt>
                <c:pt idx="1">
                  <c:v>Beverly Hills</c:v>
                </c:pt>
                <c:pt idx="2">
                  <c:v>Michigan Ave</c:v>
                </c:pt>
                <c:pt idx="3">
                  <c:v>Millenium</c:v>
                </c:pt>
                <c:pt idx="4">
                  <c:v>Lincoln Park</c:v>
                </c:pt>
                <c:pt idx="5">
                  <c:v>Fifth Avenue</c:v>
                </c:pt>
                <c:pt idx="6">
                  <c:v>Times Square</c:v>
                </c:pt>
                <c:pt idx="7">
                  <c:v>JFK</c:v>
                </c:pt>
                <c:pt idx="8">
                  <c:v>LAX</c:v>
                </c:pt>
                <c:pt idx="9">
                  <c:v>O'Hare</c:v>
                </c:pt>
              </c:strCache>
            </c:strRef>
          </c:cat>
          <c:val>
            <c:numRef>
              <c:f>'Data Prep'!$N$3:$N$12</c:f>
              <c:numCache>
                <c:formatCode>"$"#,##0</c:formatCode>
                <c:ptCount val="10"/>
                <c:pt idx="0">
                  <c:v>12894.550000000001</c:v>
                </c:pt>
                <c:pt idx="1">
                  <c:v>14836.320000000002</c:v>
                </c:pt>
                <c:pt idx="2">
                  <c:v>16131.78</c:v>
                </c:pt>
                <c:pt idx="3">
                  <c:v>20890.14</c:v>
                </c:pt>
                <c:pt idx="4">
                  <c:v>21829.790000000008</c:v>
                </c:pt>
                <c:pt idx="5">
                  <c:v>22152.709999999995</c:v>
                </c:pt>
                <c:pt idx="6">
                  <c:v>22817.06</c:v>
                </c:pt>
                <c:pt idx="7">
                  <c:v>24068.03</c:v>
                </c:pt>
                <c:pt idx="8">
                  <c:v>32052.109999999993</c:v>
                </c:pt>
                <c:pt idx="9">
                  <c:v>36101.759999999995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F-4BAC-AADA-2EEB2268E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693040320"/>
        <c:axId val="1693035040"/>
      </c:barChart>
      <c:catAx>
        <c:axId val="169304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35040"/>
        <c:crosses val="autoZero"/>
        <c:auto val="1"/>
        <c:lblAlgn val="ctr"/>
        <c:lblOffset val="100"/>
        <c:noMultiLvlLbl val="0"/>
      </c:catAx>
      <c:valAx>
        <c:axId val="16930350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6930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06842965384046"/>
          <c:y val="3.350514783968913E-2"/>
          <c:w val="0.86637611053335306"/>
          <c:h val="0.904110742732619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Prep'!$P$2</c:f>
              <c:strCache>
                <c:ptCount val="1"/>
                <c:pt idx="0">
                  <c:v>MoM %∆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Prep'!$K$3:$K$12</c:f>
              <c:numCache>
                <c:formatCode>General</c:formatCode>
                <c:ptCount val="10"/>
              </c:numCache>
            </c:numRef>
          </c:cat>
          <c:val>
            <c:numRef>
              <c:f>'Data Prep'!$P$3:$P$12</c:f>
              <c:numCache>
                <c:formatCode>0%</c:formatCode>
                <c:ptCount val="10"/>
                <c:pt idx="0">
                  <c:v>0.38778064659166622</c:v>
                </c:pt>
                <c:pt idx="1">
                  <c:v>0.27062777215864209</c:v>
                </c:pt>
                <c:pt idx="2">
                  <c:v>-0.1788871560156039</c:v>
                </c:pt>
                <c:pt idx="3">
                  <c:v>-0.13320683521372423</c:v>
                </c:pt>
                <c:pt idx="4">
                  <c:v>0.23712440332117013</c:v>
                </c:pt>
                <c:pt idx="5">
                  <c:v>0.1474812113225703</c:v>
                </c:pt>
                <c:pt idx="6">
                  <c:v>0.13137771166480761</c:v>
                </c:pt>
                <c:pt idx="7">
                  <c:v>8.5297768847375277E-2</c:v>
                </c:pt>
                <c:pt idx="8">
                  <c:v>0.27047933357538878</c:v>
                </c:pt>
                <c:pt idx="9">
                  <c:v>0.19364351342585118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55F-4BAC-AADA-2EEB2268E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693040320"/>
        <c:axId val="1693035040"/>
      </c:barChart>
      <c:catAx>
        <c:axId val="169304032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35040"/>
        <c:crosses val="autoZero"/>
        <c:auto val="1"/>
        <c:lblAlgn val="ctr"/>
        <c:lblOffset val="100"/>
        <c:noMultiLvlLbl val="0"/>
      </c:catAx>
      <c:valAx>
        <c:axId val="16930350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MoM %∆</a:t>
                </a:r>
                <a:r>
                  <a:rPr lang="en-US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6930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28867717827831"/>
          <c:y val="4.2145593869731802E-2"/>
          <c:w val="0.61445890286926674"/>
          <c:h val="0.862126285938395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Prep'!$N$2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Prep'!$L$3:$L$12</c:f>
              <c:strCache>
                <c:ptCount val="10"/>
                <c:pt idx="0">
                  <c:v>Hollywood</c:v>
                </c:pt>
                <c:pt idx="1">
                  <c:v>Beverly Hills</c:v>
                </c:pt>
                <c:pt idx="2">
                  <c:v>Michigan Ave</c:v>
                </c:pt>
                <c:pt idx="3">
                  <c:v>Millenium</c:v>
                </c:pt>
                <c:pt idx="4">
                  <c:v>Lincoln Park</c:v>
                </c:pt>
                <c:pt idx="5">
                  <c:v>Fifth Avenue</c:v>
                </c:pt>
                <c:pt idx="6">
                  <c:v>Times Square</c:v>
                </c:pt>
                <c:pt idx="7">
                  <c:v>JFK</c:v>
                </c:pt>
                <c:pt idx="8">
                  <c:v>LAX</c:v>
                </c:pt>
                <c:pt idx="9">
                  <c:v>O'Hare</c:v>
                </c:pt>
              </c:strCache>
            </c:strRef>
          </c:cat>
          <c:val>
            <c:numRef>
              <c:f>'Data Prep'!$N$3:$N$12</c:f>
              <c:numCache>
                <c:formatCode>"$"#,##0</c:formatCode>
                <c:ptCount val="10"/>
                <c:pt idx="0">
                  <c:v>12894.550000000001</c:v>
                </c:pt>
                <c:pt idx="1">
                  <c:v>14836.320000000002</c:v>
                </c:pt>
                <c:pt idx="2">
                  <c:v>16131.78</c:v>
                </c:pt>
                <c:pt idx="3">
                  <c:v>20890.14</c:v>
                </c:pt>
                <c:pt idx="4">
                  <c:v>21829.790000000008</c:v>
                </c:pt>
                <c:pt idx="5">
                  <c:v>22152.709999999995</c:v>
                </c:pt>
                <c:pt idx="6">
                  <c:v>22817.06</c:v>
                </c:pt>
                <c:pt idx="7">
                  <c:v>24068.03</c:v>
                </c:pt>
                <c:pt idx="8">
                  <c:v>32052.109999999993</c:v>
                </c:pt>
                <c:pt idx="9">
                  <c:v>36101.759999999995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A-433F-9211-D2912661343D}"/>
            </c:ext>
          </c:extLst>
        </c:ser>
        <c:ser>
          <c:idx val="1"/>
          <c:order val="1"/>
          <c:tx>
            <c:strRef>
              <c:f>'Data Prep'!$Q$2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Prep'!$L$3:$L$12</c:f>
              <c:strCache>
                <c:ptCount val="10"/>
                <c:pt idx="0">
                  <c:v>Hollywood</c:v>
                </c:pt>
                <c:pt idx="1">
                  <c:v>Beverly Hills</c:v>
                </c:pt>
                <c:pt idx="2">
                  <c:v>Michigan Ave</c:v>
                </c:pt>
                <c:pt idx="3">
                  <c:v>Millenium</c:v>
                </c:pt>
                <c:pt idx="4">
                  <c:v>Lincoln Park</c:v>
                </c:pt>
                <c:pt idx="5">
                  <c:v>Fifth Avenue</c:v>
                </c:pt>
                <c:pt idx="6">
                  <c:v>Times Square</c:v>
                </c:pt>
                <c:pt idx="7">
                  <c:v>JFK</c:v>
                </c:pt>
                <c:pt idx="8">
                  <c:v>LAX</c:v>
                </c:pt>
                <c:pt idx="9">
                  <c:v>O'Hare</c:v>
                </c:pt>
              </c:strCache>
            </c:strRef>
          </c:cat>
          <c:val>
            <c:numRef>
              <c:f>'Data Prep'!$Q$3:$Q$12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16131.78</c:v>
                </c:pt>
                <c:pt idx="3">
                  <c:v>20890.14</c:v>
                </c:pt>
                <c:pt idx="4">
                  <c:v>21829.790000000008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36101.759999999995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DA-433F-9211-D29126613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693040320"/>
        <c:axId val="1693035040"/>
      </c:barChart>
      <c:catAx>
        <c:axId val="169304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35040"/>
        <c:crosses val="autoZero"/>
        <c:auto val="1"/>
        <c:lblAlgn val="ctr"/>
        <c:lblOffset val="100"/>
        <c:noMultiLvlLbl val="0"/>
      </c:catAx>
      <c:valAx>
        <c:axId val="16930350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Revenue</a:t>
                </a:r>
              </a:p>
            </c:rich>
          </c:tx>
          <c:layout>
            <c:manualLayout>
              <c:xMode val="edge"/>
              <c:yMode val="edge"/>
              <c:x val="0.37689255378510755"/>
              <c:y val="0.91827715355805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6930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72981523826183E-2"/>
          <c:y val="4.1172707779703416E-2"/>
          <c:w val="0.94012687450548094"/>
          <c:h val="0.904110742732619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Prep'!$P$2</c:f>
              <c:strCache>
                <c:ptCount val="1"/>
                <c:pt idx="0">
                  <c:v>MoM %∆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numRef>
              <c:f>'Data Prep'!$K$3:$K$12</c:f>
              <c:numCache>
                <c:formatCode>General</c:formatCode>
                <c:ptCount val="10"/>
              </c:numCache>
            </c:numRef>
          </c:cat>
          <c:val>
            <c:numRef>
              <c:f>'Data Prep'!$P$3:$P$12</c:f>
              <c:numCache>
                <c:formatCode>0%</c:formatCode>
                <c:ptCount val="10"/>
                <c:pt idx="0">
                  <c:v>0.38778064659166622</c:v>
                </c:pt>
                <c:pt idx="1">
                  <c:v>0.27062777215864209</c:v>
                </c:pt>
                <c:pt idx="2">
                  <c:v>-0.1788871560156039</c:v>
                </c:pt>
                <c:pt idx="3">
                  <c:v>-0.13320683521372423</c:v>
                </c:pt>
                <c:pt idx="4">
                  <c:v>0.23712440332117013</c:v>
                </c:pt>
                <c:pt idx="5">
                  <c:v>0.1474812113225703</c:v>
                </c:pt>
                <c:pt idx="6">
                  <c:v>0.13137771166480761</c:v>
                </c:pt>
                <c:pt idx="7">
                  <c:v>8.5297768847375277E-2</c:v>
                </c:pt>
                <c:pt idx="8">
                  <c:v>0.27047933357538878</c:v>
                </c:pt>
                <c:pt idx="9">
                  <c:v>0.19364351342585118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4-4E38-8C3B-EE96B032C739}"/>
            </c:ext>
          </c:extLst>
        </c:ser>
        <c:ser>
          <c:idx val="1"/>
          <c:order val="1"/>
          <c:tx>
            <c:strRef>
              <c:f>'Data Prep'!$R$2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Prep'!$K$3:$K$12</c:f>
              <c:numCache>
                <c:formatCode>General</c:formatCode>
                <c:ptCount val="10"/>
              </c:numCache>
            </c:numRef>
          </c:cat>
          <c:val>
            <c:numRef>
              <c:f>'Data Prep'!$R$3:$R$12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-0.1788871560156039</c:v>
                </c:pt>
                <c:pt idx="3">
                  <c:v>-0.13320683521372423</c:v>
                </c:pt>
                <c:pt idx="4">
                  <c:v>0.23712440332117013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0.19364351342585118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074-4E38-8C3B-EE96B032C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693040320"/>
        <c:axId val="1693035040"/>
      </c:barChart>
      <c:catAx>
        <c:axId val="169304032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35040"/>
        <c:crosses val="autoZero"/>
        <c:auto val="1"/>
        <c:lblAlgn val="ctr"/>
        <c:lblOffset val="100"/>
        <c:noMultiLvlLbl val="0"/>
      </c:catAx>
      <c:valAx>
        <c:axId val="16930350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>
                    <a:effectLst/>
                  </a:rPr>
                  <a:t>MoM %∆</a:t>
                </a:r>
                <a:r>
                  <a:rPr lang="en-US" sz="900" b="0" i="0" u="none" strike="noStrike" baseline="0">
                    <a:effectLst/>
                  </a:rPr>
                  <a:t> </a:t>
                </a:r>
                <a:endParaRPr lang="en-US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6930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292888435825"/>
          <c:y val="0.15218897423976732"/>
          <c:w val="0.64677258957476458"/>
          <c:h val="0.58569055110617041"/>
        </c:manualLayout>
      </c:layout>
      <c:lineChart>
        <c:grouping val="standard"/>
        <c:varyColors val="0"/>
        <c:ser>
          <c:idx val="0"/>
          <c:order val="0"/>
          <c:tx>
            <c:strRef>
              <c:f>'Data Prep'!$I$2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63051.609999999993</c:v>
                </c:pt>
                <c:pt idx="1">
                  <c:v>65298.220000000023</c:v>
                </c:pt>
                <c:pt idx="2">
                  <c:v>64161.95</c:v>
                </c:pt>
                <c:pt idx="3">
                  <c:v>80619.25999999998</c:v>
                </c:pt>
                <c:pt idx="4">
                  <c:v>79560.950000000026</c:v>
                </c:pt>
                <c:pt idx="5">
                  <c:v>85430.399999999965</c:v>
                </c:pt>
                <c:pt idx="6">
                  <c:v>70835.710000000006</c:v>
                </c:pt>
                <c:pt idx="7">
                  <c:v>55171.65</c:v>
                </c:pt>
                <c:pt idx="8">
                  <c:v>67569.269999999975</c:v>
                </c:pt>
                <c:pt idx="9">
                  <c:v>64882.340000000018</c:v>
                </c:pt>
                <c:pt idx="10">
                  <c:v>73732.52</c:v>
                </c:pt>
                <c:pt idx="11">
                  <c:v>93356.910000000018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7F-40CD-B6C0-B05B3934E56A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81321.820000000022</c:v>
                </c:pt>
                <c:pt idx="1">
                  <c:v>87902.16</c:v>
                </c:pt>
                <c:pt idx="2">
                  <c:v>105385.7199999999</c:v>
                </c:pt>
                <c:pt idx="3">
                  <c:v>99650.11000000003</c:v>
                </c:pt>
                <c:pt idx="4">
                  <c:v>93467.969999999972</c:v>
                </c:pt>
                <c:pt idx="5">
                  <c:v>91637.330000000016</c:v>
                </c:pt>
                <c:pt idx="6">
                  <c:v>94953.469999999958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7F-40CD-B6C0-B05B3934E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102720"/>
        <c:axId val="1693087840"/>
      </c:lineChart>
      <c:catAx>
        <c:axId val="169310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Month</a:t>
                </a:r>
              </a:p>
            </c:rich>
          </c:tx>
          <c:layout>
            <c:manualLayout>
              <c:xMode val="edge"/>
              <c:yMode val="edge"/>
              <c:x val="0.24924358139443095"/>
              <c:y val="0.86190864985190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087840"/>
        <c:crosses val="autoZero"/>
        <c:auto val="1"/>
        <c:lblAlgn val="ctr"/>
        <c:lblOffset val="100"/>
        <c:noMultiLvlLbl val="0"/>
      </c:catAx>
      <c:valAx>
        <c:axId val="169308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Revenue</a:t>
                </a:r>
              </a:p>
            </c:rich>
          </c:tx>
          <c:layout>
            <c:manualLayout>
              <c:xMode val="edge"/>
              <c:yMode val="edge"/>
              <c:x val="1.074842535139383E-2"/>
              <c:y val="0.11351457736652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accent3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0272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38001755210819"/>
          <c:y val="0.4888207051681091"/>
          <c:w val="0.22962021460626758"/>
          <c:h val="0.204911409990720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6351</xdr:colOff>
          <xdr:row>10</xdr:row>
          <xdr:rowOff>0</xdr:rowOff>
        </xdr:from>
        <xdr:to>
          <xdr:col>4</xdr:col>
          <xdr:colOff>482600</xdr:colOff>
          <xdr:row>13</xdr:row>
          <xdr:rowOff>17323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210633A-9403-2263-6AAE-E03855B8391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5" spid="_x0000_s21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22501" y="1866900"/>
              <a:ext cx="1727199" cy="5909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14</xdr:row>
          <xdr:rowOff>95250</xdr:rowOff>
        </xdr:from>
        <xdr:to>
          <xdr:col>4</xdr:col>
          <xdr:colOff>500592</xdr:colOff>
          <xdr:row>17</xdr:row>
          <xdr:rowOff>82550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9183C880-D750-6C0E-3D93-0C6A0E52FF1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" spid="_x0000_s214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22500" y="2698750"/>
              <a:ext cx="1745192" cy="539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1</xdr:col>
      <xdr:colOff>572558</xdr:colOff>
      <xdr:row>35</xdr:row>
      <xdr:rowOff>57148</xdr:rowOff>
    </xdr:from>
    <xdr:to>
      <xdr:col>7</xdr:col>
      <xdr:colOff>855133</xdr:colOff>
      <xdr:row>66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AF9BA2-6335-963A-4C12-92E6988C4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7</xdr:col>
      <xdr:colOff>449792</xdr:colOff>
      <xdr:row>35</xdr:row>
      <xdr:rowOff>52917</xdr:rowOff>
    </xdr:from>
    <xdr:to>
      <xdr:col>12</xdr:col>
      <xdr:colOff>819151</xdr:colOff>
      <xdr:row>65</xdr:row>
      <xdr:rowOff>137584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CD18C4-6C14-33D8-5393-CCAC7AC0F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169333</xdr:colOff>
      <xdr:row>9</xdr:row>
      <xdr:rowOff>82550</xdr:rowOff>
    </xdr:from>
    <xdr:to>
      <xdr:col>6</xdr:col>
      <xdr:colOff>115643</xdr:colOff>
      <xdr:row>27</xdr:row>
      <xdr:rowOff>158750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3205C91-BE14-486C-93CA-F870D1A15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916102</xdr:colOff>
      <xdr:row>9</xdr:row>
      <xdr:rowOff>80408</xdr:rowOff>
    </xdr:from>
    <xdr:to>
      <xdr:col>10</xdr:col>
      <xdr:colOff>46980</xdr:colOff>
      <xdr:row>27</xdr:row>
      <xdr:rowOff>154515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37598E5-1690-4124-A186-80179CC78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527050</xdr:colOff>
      <xdr:row>9</xdr:row>
      <xdr:rowOff>76200</xdr:rowOff>
    </xdr:from>
    <xdr:to>
      <xdr:col>2</xdr:col>
      <xdr:colOff>1346200</xdr:colOff>
      <xdr:row>13</xdr:row>
      <xdr:rowOff>101600</xdr:rowOff>
    </xdr:to>
    <xdr:sp macro="" textlink="'Data Prep'!E2">
      <xdr:nvSpPr>
        <xdr:cNvPr id="22" name="TextBox 21">
          <a:extLst>
            <a:ext uri="{FF2B5EF4-FFF2-40B4-BE49-F238E27FC236}">
              <a16:creationId xmlns:a16="http://schemas.microsoft.com/office/drawing/2014/main" id="{2AA2AC8F-9CC4-48AD-ACD1-5B39442EEBCD}"/>
            </a:ext>
          </a:extLst>
        </xdr:cNvPr>
        <xdr:cNvSpPr txBox="1"/>
      </xdr:nvSpPr>
      <xdr:spPr>
        <a:xfrm>
          <a:off x="527050" y="1847850"/>
          <a:ext cx="236855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BD33C83A-D121-4C09-9E99-E749547235B7}" type="TxLink">
            <a:rPr lang="en-US" sz="40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$94,953</a:t>
          </a:fld>
          <a:endParaRPr lang="en-US" sz="7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84667</xdr:colOff>
      <xdr:row>13</xdr:row>
      <xdr:rowOff>120650</xdr:rowOff>
    </xdr:from>
    <xdr:to>
      <xdr:col>2</xdr:col>
      <xdr:colOff>1079500</xdr:colOff>
      <xdr:row>16</xdr:row>
      <xdr:rowOff>50800</xdr:rowOff>
    </xdr:to>
    <xdr:sp macro="" textlink="'Data Prep'!E5">
      <xdr:nvSpPr>
        <xdr:cNvPr id="25" name="TextBox 24">
          <a:extLst>
            <a:ext uri="{FF2B5EF4-FFF2-40B4-BE49-F238E27FC236}">
              <a16:creationId xmlns:a16="http://schemas.microsoft.com/office/drawing/2014/main" id="{E3FC8048-79AA-450C-B69D-031F701AEE70}"/>
            </a:ext>
          </a:extLst>
        </xdr:cNvPr>
        <xdr:cNvSpPr txBox="1"/>
      </xdr:nvSpPr>
      <xdr:spPr>
        <a:xfrm>
          <a:off x="1640417" y="2575983"/>
          <a:ext cx="994833" cy="469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D6D5A816-5F30-4533-AD9F-6983230BB322}" type="TxLink">
            <a:rPr lang="en-US" sz="2400" b="1" i="0" u="none" strike="noStrike">
              <a:solidFill>
                <a:schemeClr val="accent4"/>
              </a:solidFill>
              <a:latin typeface="Calibri"/>
              <a:ea typeface="Calibri"/>
              <a:cs typeface="Calibri"/>
            </a:rPr>
            <a:pPr marL="0" indent="0"/>
            <a:t>34.0%</a:t>
          </a:fld>
          <a:endParaRPr lang="en-US" sz="2400" b="1" i="0" u="none" strike="noStrike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0</xdr:col>
      <xdr:colOff>412750</xdr:colOff>
      <xdr:row>1</xdr:row>
      <xdr:rowOff>25400</xdr:rowOff>
    </xdr:from>
    <xdr:to>
      <xdr:col>8</xdr:col>
      <xdr:colOff>55669</xdr:colOff>
      <xdr:row>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F6B86D-D393-8306-A12E-3F0CAA57E872}"/>
            </a:ext>
          </a:extLst>
        </xdr:cNvPr>
        <xdr:cNvSpPr txBox="1"/>
      </xdr:nvSpPr>
      <xdr:spPr>
        <a:xfrm>
          <a:off x="412750" y="208844"/>
          <a:ext cx="5549194" cy="5249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/>
            <a:t>REGIONAL REVENUE DASHBOARD</a:t>
          </a:r>
        </a:p>
      </xdr:txBody>
    </xdr:sp>
    <xdr:clientData/>
  </xdr:twoCellAnchor>
  <xdr:twoCellAnchor>
    <xdr:from>
      <xdr:col>0</xdr:col>
      <xdr:colOff>142875</xdr:colOff>
      <xdr:row>6</xdr:row>
      <xdr:rowOff>139700</xdr:rowOff>
    </xdr:from>
    <xdr:to>
      <xdr:col>20</xdr:col>
      <xdr:colOff>393700</xdr:colOff>
      <xdr:row>6</xdr:row>
      <xdr:rowOff>166687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2CE3329-1087-9812-BC00-0741F12FCE26}"/>
            </a:ext>
          </a:extLst>
        </xdr:cNvPr>
        <xdr:cNvCxnSpPr/>
      </xdr:nvCxnSpPr>
      <xdr:spPr>
        <a:xfrm flipV="1">
          <a:off x="142875" y="1460500"/>
          <a:ext cx="13598525" cy="269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2645</xdr:colOff>
      <xdr:row>7</xdr:row>
      <xdr:rowOff>135467</xdr:rowOff>
    </xdr:from>
    <xdr:to>
      <xdr:col>2</xdr:col>
      <xdr:colOff>1195917</xdr:colOff>
      <xdr:row>9</xdr:row>
      <xdr:rowOff>4233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5FB155-CAE1-B07C-3937-31E98A63E29C}"/>
            </a:ext>
          </a:extLst>
        </xdr:cNvPr>
        <xdr:cNvSpPr txBox="1"/>
      </xdr:nvSpPr>
      <xdr:spPr>
        <a:xfrm>
          <a:off x="616478" y="1511300"/>
          <a:ext cx="2135189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/>
            <a:t>Total Revenue we </a:t>
          </a:r>
          <a:r>
            <a:rPr lang="en-US" sz="1200" b="1">
              <a:solidFill>
                <a:schemeClr val="accent1"/>
              </a:solidFill>
            </a:rPr>
            <a:t>drove in</a:t>
          </a:r>
        </a:p>
      </xdr:txBody>
    </xdr:sp>
    <xdr:clientData/>
  </xdr:twoCellAnchor>
  <xdr:twoCellAnchor editAs="absolute">
    <xdr:from>
      <xdr:col>0</xdr:col>
      <xdr:colOff>412750</xdr:colOff>
      <xdr:row>17</xdr:row>
      <xdr:rowOff>172202</xdr:rowOff>
    </xdr:from>
    <xdr:to>
      <xdr:col>2</xdr:col>
      <xdr:colOff>1386416</xdr:colOff>
      <xdr:row>20</xdr:row>
      <xdr:rowOff>74083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9D8C4E3-5F6A-D20C-0CD0-297AFBBF15FC}"/>
            </a:ext>
          </a:extLst>
        </xdr:cNvPr>
        <xdr:cNvSpPr txBox="1"/>
      </xdr:nvSpPr>
      <xdr:spPr>
        <a:xfrm>
          <a:off x="412750" y="3347202"/>
          <a:ext cx="2529416" cy="441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0"/>
            <a:t>... and the</a:t>
          </a:r>
          <a:r>
            <a:rPr lang="en-US" sz="1050" b="0">
              <a:solidFill>
                <a:schemeClr val="accent1"/>
              </a:solidFill>
            </a:rPr>
            <a:t> Revenue </a:t>
          </a:r>
          <a:r>
            <a:rPr lang="en-US" sz="1200" b="0">
              <a:solidFill>
                <a:schemeClr val="accent1"/>
              </a:solidFill>
            </a:rPr>
            <a:t>Trend</a:t>
          </a:r>
          <a:r>
            <a:rPr lang="en-US" sz="1050" b="0">
              <a:solidFill>
                <a:schemeClr val="accent1"/>
              </a:solidFill>
            </a:rPr>
            <a:t> </a:t>
          </a:r>
          <a:r>
            <a:rPr lang="en-US" sz="1050" b="0"/>
            <a:t>in </a:t>
          </a:r>
          <a:r>
            <a:rPr lang="en-US" sz="1050" b="1">
              <a:solidFill>
                <a:schemeClr val="accent1"/>
              </a:solidFill>
            </a:rPr>
            <a:t>2021</a:t>
          </a:r>
          <a:r>
            <a:rPr lang="en-US" sz="1050" b="0"/>
            <a:t> vs </a:t>
          </a:r>
          <a:r>
            <a:rPr lang="en-US" sz="1050" b="1">
              <a:solidFill>
                <a:schemeClr val="accent3"/>
              </a:solidFill>
            </a:rPr>
            <a:t>2020</a:t>
          </a:r>
        </a:p>
      </xdr:txBody>
    </xdr:sp>
    <xdr:clientData/>
  </xdr:twoCellAnchor>
  <xdr:twoCellAnchor editAs="absolute">
    <xdr:from>
      <xdr:col>0</xdr:col>
      <xdr:colOff>412751</xdr:colOff>
      <xdr:row>16</xdr:row>
      <xdr:rowOff>114301</xdr:rowOff>
    </xdr:from>
    <xdr:to>
      <xdr:col>1</xdr:col>
      <xdr:colOff>936602</xdr:colOff>
      <xdr:row>17</xdr:row>
      <xdr:rowOff>137584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280EC3-326D-4699-ADF2-750543BF1E7F}"/>
            </a:ext>
          </a:extLst>
        </xdr:cNvPr>
        <xdr:cNvSpPr txBox="1"/>
      </xdr:nvSpPr>
      <xdr:spPr>
        <a:xfrm>
          <a:off x="412751" y="3109384"/>
          <a:ext cx="1137684" cy="203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/>
            <a:t>VS Last Month</a:t>
          </a:r>
        </a:p>
      </xdr:txBody>
    </xdr:sp>
    <xdr:clientData/>
  </xdr:twoCellAnchor>
  <xdr:twoCellAnchor editAs="absolute">
    <xdr:from>
      <xdr:col>2</xdr:col>
      <xdr:colOff>158750</xdr:colOff>
      <xdr:row>16</xdr:row>
      <xdr:rowOff>127911</xdr:rowOff>
    </xdr:from>
    <xdr:to>
      <xdr:col>2</xdr:col>
      <xdr:colOff>1248834</xdr:colOff>
      <xdr:row>17</xdr:row>
      <xdr:rowOff>127000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037DA0-C44E-4F10-B21D-43B1F30F5055}"/>
            </a:ext>
          </a:extLst>
        </xdr:cNvPr>
        <xdr:cNvSpPr txBox="1"/>
      </xdr:nvSpPr>
      <xdr:spPr>
        <a:xfrm>
          <a:off x="1714500" y="3122994"/>
          <a:ext cx="1090084" cy="1790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VS Last Year</a:t>
          </a:r>
          <a:endParaRPr lang="en-US" sz="900">
            <a:effectLst/>
          </a:endParaRPr>
        </a:p>
      </xdr:txBody>
    </xdr:sp>
    <xdr:clientData/>
  </xdr:twoCellAnchor>
  <xdr:twoCellAnchor editAs="absolute">
    <xdr:from>
      <xdr:col>3</xdr:col>
      <xdr:colOff>148168</xdr:colOff>
      <xdr:row>8</xdr:row>
      <xdr:rowOff>21167</xdr:rowOff>
    </xdr:from>
    <xdr:to>
      <xdr:col>10</xdr:col>
      <xdr:colOff>25814</xdr:colOff>
      <xdr:row>8</xdr:row>
      <xdr:rowOff>148167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B17E77-AC39-44B0-B430-40B1C4EC03A8}"/>
            </a:ext>
          </a:extLst>
        </xdr:cNvPr>
        <xdr:cNvSpPr txBox="1"/>
      </xdr:nvSpPr>
      <xdr:spPr>
        <a:xfrm>
          <a:off x="3132668" y="1576917"/>
          <a:ext cx="4836582" cy="127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/>
            <a:t>This is the </a:t>
          </a:r>
          <a:r>
            <a:rPr lang="en-US" sz="1200" b="1">
              <a:solidFill>
                <a:schemeClr val="accent1">
                  <a:lumMod val="75000"/>
                </a:schemeClr>
              </a:solidFill>
            </a:rPr>
            <a:t>Store Performance </a:t>
          </a:r>
          <a:r>
            <a:rPr lang="en-US" sz="1200" b="0"/>
            <a:t>compared to </a:t>
          </a:r>
          <a:r>
            <a:rPr lang="en-US" sz="1200" b="1">
              <a:solidFill>
                <a:schemeClr val="accent3"/>
              </a:solidFill>
            </a:rPr>
            <a:t>other regions</a:t>
          </a:r>
        </a:p>
      </xdr:txBody>
    </xdr:sp>
    <xdr:clientData/>
  </xdr:twoCellAnchor>
  <xdr:twoCellAnchor editAs="absolute">
    <xdr:from>
      <xdr:col>11</xdr:col>
      <xdr:colOff>205729</xdr:colOff>
      <xdr:row>7</xdr:row>
      <xdr:rowOff>88900</xdr:rowOff>
    </xdr:from>
    <xdr:to>
      <xdr:col>14</xdr:col>
      <xdr:colOff>1006190</xdr:colOff>
      <xdr:row>8</xdr:row>
      <xdr:rowOff>148167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7DCAED0-8AA0-4537-B774-A4F71D0DCA08}"/>
            </a:ext>
          </a:extLst>
        </xdr:cNvPr>
        <xdr:cNvSpPr txBox="1"/>
      </xdr:nvSpPr>
      <xdr:spPr>
        <a:xfrm>
          <a:off x="8551333" y="1464733"/>
          <a:ext cx="3397250" cy="2391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/>
            <a:t>Where these </a:t>
          </a:r>
          <a:r>
            <a:rPr lang="en-US" sz="1200" b="0">
              <a:solidFill>
                <a:sysClr val="windowText" lastClr="000000"/>
              </a:solidFill>
            </a:rPr>
            <a:t>Products</a:t>
          </a:r>
          <a:r>
            <a:rPr lang="en-US" sz="1200" b="0"/>
            <a:t> </a:t>
          </a:r>
          <a:r>
            <a:rPr lang="en-US" sz="1200" b="1">
              <a:solidFill>
                <a:schemeClr val="accent6"/>
              </a:solidFill>
            </a:rPr>
            <a:t>drove</a:t>
          </a:r>
          <a:r>
            <a:rPr lang="en-US" sz="1200" b="1" baseline="0">
              <a:solidFill>
                <a:schemeClr val="accent6"/>
              </a:solidFill>
            </a:rPr>
            <a:t> growth</a:t>
          </a:r>
          <a:endParaRPr lang="en-US" sz="1200" b="1">
            <a:solidFill>
              <a:schemeClr val="accent6"/>
            </a:solidFill>
          </a:endParaRPr>
        </a:p>
      </xdr:txBody>
    </xdr:sp>
    <xdr:clientData/>
  </xdr:twoCellAnchor>
  <xdr:twoCellAnchor editAs="absolute">
    <xdr:from>
      <xdr:col>11</xdr:col>
      <xdr:colOff>195146</xdr:colOff>
      <xdr:row>18</xdr:row>
      <xdr:rowOff>1501</xdr:rowOff>
    </xdr:from>
    <xdr:to>
      <xdr:col>14</xdr:col>
      <xdr:colOff>350878</xdr:colOff>
      <xdr:row>19</xdr:row>
      <xdr:rowOff>42335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72B142-E5C4-48FC-9672-C528DD8E19BE}"/>
            </a:ext>
          </a:extLst>
        </xdr:cNvPr>
        <xdr:cNvSpPr txBox="1"/>
      </xdr:nvSpPr>
      <xdr:spPr>
        <a:xfrm>
          <a:off x="8540750" y="3356418"/>
          <a:ext cx="2752521" cy="220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/>
            <a:t>... and these Products</a:t>
          </a:r>
          <a:r>
            <a:rPr lang="en-US" sz="1200" b="0" baseline="0"/>
            <a:t> </a:t>
          </a:r>
          <a:r>
            <a:rPr lang="en-US" sz="1200" b="1" baseline="0">
              <a:solidFill>
                <a:srgbClr val="C00000"/>
              </a:solidFill>
            </a:rPr>
            <a:t>caused losses</a:t>
          </a:r>
          <a:endParaRPr lang="en-US" sz="1200" b="1">
            <a:solidFill>
              <a:srgbClr val="C00000"/>
            </a:solidFill>
          </a:endParaRPr>
        </a:p>
      </xdr:txBody>
    </xdr:sp>
    <xdr:clientData/>
  </xdr:twoCellAnchor>
  <xdr:twoCellAnchor editAs="absolute">
    <xdr:from>
      <xdr:col>0</xdr:col>
      <xdr:colOff>520700</xdr:colOff>
      <xdr:row>13</xdr:row>
      <xdr:rowOff>152400</xdr:rowOff>
    </xdr:from>
    <xdr:to>
      <xdr:col>2</xdr:col>
      <xdr:colOff>127000</xdr:colOff>
      <xdr:row>16</xdr:row>
      <xdr:rowOff>82550</xdr:rowOff>
    </xdr:to>
    <xdr:sp macro="" textlink="'Data Prep'!E6">
      <xdr:nvSpPr>
        <xdr:cNvPr id="24" name="TextBox 23">
          <a:extLst>
            <a:ext uri="{FF2B5EF4-FFF2-40B4-BE49-F238E27FC236}">
              <a16:creationId xmlns:a16="http://schemas.microsoft.com/office/drawing/2014/main" id="{8BD6CE67-11F0-458A-85A2-3034AF6F9255}"/>
            </a:ext>
          </a:extLst>
        </xdr:cNvPr>
        <xdr:cNvSpPr txBox="1"/>
      </xdr:nvSpPr>
      <xdr:spPr>
        <a:xfrm>
          <a:off x="520700" y="2660650"/>
          <a:ext cx="1155700" cy="482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C8DE7B68-3F33-4EC2-9A0A-F14C24B43E6D}" type="TxLink">
            <a:rPr lang="en-US" sz="2400" b="1" i="0" u="none" strike="noStrike">
              <a:solidFill>
                <a:schemeClr val="accent4"/>
              </a:solidFill>
              <a:latin typeface="Calibri"/>
              <a:ea typeface="Calibri"/>
              <a:cs typeface="Calibri"/>
            </a:rPr>
            <a:t>3.6%</a:t>
          </a:fld>
          <a:endParaRPr lang="en-US" sz="6600" b="1">
            <a:solidFill>
              <a:schemeClr val="accent4"/>
            </a:solidFill>
          </a:endParaRPr>
        </a:p>
      </xdr:txBody>
    </xdr:sp>
    <xdr:clientData/>
  </xdr:twoCellAnchor>
  <xdr:twoCellAnchor editAs="absolute">
    <xdr:from>
      <xdr:col>0</xdr:col>
      <xdr:colOff>361950</xdr:colOff>
      <xdr:row>20</xdr:row>
      <xdr:rowOff>0</xdr:rowOff>
    </xdr:from>
    <xdr:to>
      <xdr:col>2</xdr:col>
      <xdr:colOff>1377949</xdr:colOff>
      <xdr:row>28</xdr:row>
      <xdr:rowOff>93133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6A91195-7E3D-44F5-901B-51BEBE3FC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12</xdr:col>
      <xdr:colOff>985024</xdr:colOff>
      <xdr:row>1</xdr:row>
      <xdr:rowOff>76200</xdr:rowOff>
    </xdr:from>
    <xdr:to>
      <xdr:col>14</xdr:col>
      <xdr:colOff>1087032</xdr:colOff>
      <xdr:row>5</xdr:row>
      <xdr:rowOff>240872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BB4CEA6-1FEA-8356-E83E-12AF5818D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266700"/>
          <a:ext cx="2426418" cy="9266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05404-22A8-4731-A5AE-4A0645468C83}" name="Data" displayName="Data" ref="A1:J4266" totalsRowShown="0" headerRowDxfId="2">
  <autoFilter ref="A1:J4266" xr:uid="{47305404-22A8-4731-A5AE-4A0645468C83}"/>
  <tableColumns count="10">
    <tableColumn id="1" xr3:uid="{C1B88C7E-224C-46CA-8C82-C50DBD11C9E7}" name="Year"/>
    <tableColumn id="2" xr3:uid="{DA02649E-7E99-4DAB-9A21-FB04E5AECD64}" name="Month"/>
    <tableColumn id="3" xr3:uid="{D21AE772-0969-4DEA-AA71-C1FF7634839B}" name="Store Name"/>
    <tableColumn id="4" xr3:uid="{6B18702A-446D-4E4F-AD66-0AD2E9794B5F}" name="Region"/>
    <tableColumn id="5" xr3:uid="{5FE2627D-8F89-4A96-BF61-A712ADA5471B}" name="Store Type"/>
    <tableColumn id="6" xr3:uid="{10EA2AEE-6F15-4954-A889-55EFD0D0202E}" name="Product Name"/>
    <tableColumn id="7" xr3:uid="{EC1A422A-B4A3-43EA-8B84-42F606984AED}" name="Product Category"/>
    <tableColumn id="8" xr3:uid="{68F8DF12-3661-4F43-8364-FFE3E079A9A3}" name="Units Sold"/>
    <tableColumn id="9" xr3:uid="{EACC30E3-8234-4EC6-8349-9F96BB2FC25B}" name="Revenue" dataDxfId="4"/>
    <tableColumn id="10" xr3:uid="{11EDAC24-656D-41F5-B517-262E59141687}" name="Profit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266"/>
  <sheetViews>
    <sheetView showGridLines="0" topLeftCell="B4233" zoomScaleNormal="100" workbookViewId="0">
      <selection activeCell="F2" sqref="F2:F4266"/>
    </sheetView>
  </sheetViews>
  <sheetFormatPr defaultRowHeight="14.5" x14ac:dyDescent="0.35"/>
  <cols>
    <col min="1" max="1" width="7.08984375" customWidth="1"/>
    <col min="2" max="2" width="9.08984375" customWidth="1"/>
    <col min="3" max="3" width="14.36328125" customWidth="1"/>
    <col min="4" max="4" width="15" customWidth="1"/>
    <col min="5" max="5" width="16.36328125" customWidth="1"/>
    <col min="6" max="6" width="20.453125" bestFit="1" customWidth="1"/>
    <col min="7" max="7" width="18.90625" customWidth="1"/>
    <col min="8" max="8" width="12.08984375" customWidth="1"/>
    <col min="9" max="9" width="11" customWidth="1"/>
    <col min="12" max="13" width="11.453125" bestFit="1" customWidth="1"/>
    <col min="16" max="16" width="15.453125" bestFit="1" customWidth="1"/>
    <col min="18" max="18" width="18.36328125" bestFit="1" customWidth="1"/>
    <col min="27" max="27" width="14.36328125" customWidth="1"/>
    <col min="28" max="28" width="11.453125" customWidth="1"/>
    <col min="32" max="33" width="14.36328125" customWidth="1"/>
    <col min="34" max="34" width="11.453125" customWidth="1"/>
    <col min="37" max="37" width="12.36328125" bestFit="1" customWidth="1"/>
    <col min="38" max="38" width="17.6328125" bestFit="1" customWidth="1"/>
    <col min="48" max="49" width="14.36328125" customWidth="1"/>
    <col min="50" max="50" width="17.453125" bestFit="1" customWidth="1"/>
    <col min="51" max="51" width="11.453125" customWidth="1"/>
  </cols>
  <sheetData>
    <row r="1" spans="1:51" x14ac:dyDescent="0.35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35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35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56</v>
      </c>
      <c r="AX3" t="s">
        <v>14</v>
      </c>
      <c r="AY3" s="3">
        <f t="shared" ref="AY3:AY34" si="1">SUMIFS(I:I,D:D,_xlfn.SINGLE(region),C:C,AW3,G:G,AX3,A:A,_xlfn.SINGLE(CurYear),B:B,_xlfn.SINGLE(CurMonth))</f>
        <v>0</v>
      </c>
    </row>
    <row r="4" spans="1:51" x14ac:dyDescent="0.35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56</v>
      </c>
      <c r="AX4" t="s">
        <v>9</v>
      </c>
      <c r="AY4" s="3">
        <f t="shared" si="1"/>
        <v>0</v>
      </c>
    </row>
    <row r="5" spans="1:51" x14ac:dyDescent="0.35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56</v>
      </c>
      <c r="AX5" t="s">
        <v>21</v>
      </c>
      <c r="AY5" s="3">
        <f t="shared" si="1"/>
        <v>0</v>
      </c>
    </row>
    <row r="6" spans="1:51" x14ac:dyDescent="0.35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56</v>
      </c>
      <c r="AX6" t="s">
        <v>7</v>
      </c>
      <c r="AY6" s="3">
        <f t="shared" si="1"/>
        <v>0</v>
      </c>
    </row>
    <row r="7" spans="1:51" x14ac:dyDescent="0.35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56</v>
      </c>
      <c r="AX7" t="s">
        <v>12</v>
      </c>
      <c r="AY7" s="3">
        <f t="shared" si="1"/>
        <v>0</v>
      </c>
    </row>
    <row r="8" spans="1:51" x14ac:dyDescent="0.35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58</v>
      </c>
      <c r="AX8" t="s">
        <v>14</v>
      </c>
      <c r="AY8" s="3">
        <f t="shared" si="1"/>
        <v>0</v>
      </c>
    </row>
    <row r="9" spans="1:51" x14ac:dyDescent="0.35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58</v>
      </c>
      <c r="AX9" t="s">
        <v>9</v>
      </c>
      <c r="AY9" s="3">
        <f t="shared" si="1"/>
        <v>0</v>
      </c>
    </row>
    <row r="10" spans="1:51" x14ac:dyDescent="0.35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58</v>
      </c>
      <c r="AX10" t="s">
        <v>21</v>
      </c>
      <c r="AY10" s="3">
        <f t="shared" si="1"/>
        <v>0</v>
      </c>
    </row>
    <row r="11" spans="1:51" x14ac:dyDescent="0.35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58</v>
      </c>
      <c r="AX11" t="s">
        <v>7</v>
      </c>
      <c r="AY11" s="3">
        <f t="shared" si="1"/>
        <v>0</v>
      </c>
    </row>
    <row r="12" spans="1:51" x14ac:dyDescent="0.35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58</v>
      </c>
      <c r="AX12" t="s">
        <v>12</v>
      </c>
      <c r="AY12" s="3">
        <f t="shared" si="1"/>
        <v>0</v>
      </c>
    </row>
    <row r="13" spans="1:51" x14ac:dyDescent="0.35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59</v>
      </c>
      <c r="AX13" t="s">
        <v>14</v>
      </c>
      <c r="AY13" s="3">
        <f t="shared" si="1"/>
        <v>0</v>
      </c>
    </row>
    <row r="14" spans="1:51" x14ac:dyDescent="0.35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59</v>
      </c>
      <c r="AX14" t="s">
        <v>9</v>
      </c>
      <c r="AY14" s="3">
        <f t="shared" si="1"/>
        <v>0</v>
      </c>
    </row>
    <row r="15" spans="1:51" x14ac:dyDescent="0.35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59</v>
      </c>
      <c r="AX15" t="s">
        <v>21</v>
      </c>
      <c r="AY15" s="3">
        <f t="shared" si="1"/>
        <v>0</v>
      </c>
    </row>
    <row r="16" spans="1:51" x14ac:dyDescent="0.35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59</v>
      </c>
      <c r="AX16" t="s">
        <v>7</v>
      </c>
      <c r="AY16" s="3">
        <f t="shared" si="1"/>
        <v>0</v>
      </c>
    </row>
    <row r="17" spans="1:51" x14ac:dyDescent="0.35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59</v>
      </c>
      <c r="AX17" t="s">
        <v>12</v>
      </c>
      <c r="AY17" s="3">
        <f t="shared" si="1"/>
        <v>0</v>
      </c>
    </row>
    <row r="18" spans="1:51" x14ac:dyDescent="0.35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60</v>
      </c>
      <c r="AX18" t="s">
        <v>14</v>
      </c>
      <c r="AY18" s="3">
        <f t="shared" si="1"/>
        <v>0</v>
      </c>
    </row>
    <row r="19" spans="1:51" x14ac:dyDescent="0.35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60</v>
      </c>
      <c r="AX19" t="s">
        <v>9</v>
      </c>
      <c r="AY19" s="3">
        <f t="shared" si="1"/>
        <v>0</v>
      </c>
    </row>
    <row r="20" spans="1:51" x14ac:dyDescent="0.35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60</v>
      </c>
      <c r="AX20" t="s">
        <v>21</v>
      </c>
      <c r="AY20" s="3">
        <f t="shared" si="1"/>
        <v>0</v>
      </c>
    </row>
    <row r="21" spans="1:51" x14ac:dyDescent="0.35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60</v>
      </c>
      <c r="AX21" t="s">
        <v>7</v>
      </c>
      <c r="AY21" s="3">
        <f t="shared" si="1"/>
        <v>0</v>
      </c>
    </row>
    <row r="22" spans="1:51" x14ac:dyDescent="0.35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60</v>
      </c>
      <c r="AX22" t="s">
        <v>12</v>
      </c>
      <c r="AY22" s="3">
        <f t="shared" si="1"/>
        <v>0</v>
      </c>
    </row>
    <row r="23" spans="1:51" x14ac:dyDescent="0.35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61</v>
      </c>
      <c r="AX23" t="s">
        <v>14</v>
      </c>
      <c r="AY23" s="3">
        <f t="shared" si="1"/>
        <v>0</v>
      </c>
    </row>
    <row r="24" spans="1:51" x14ac:dyDescent="0.35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61</v>
      </c>
      <c r="AX24" t="s">
        <v>9</v>
      </c>
      <c r="AY24" s="3">
        <f t="shared" si="1"/>
        <v>0</v>
      </c>
    </row>
    <row r="25" spans="1:51" x14ac:dyDescent="0.35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61</v>
      </c>
      <c r="AX25" t="s">
        <v>21</v>
      </c>
      <c r="AY25" s="3">
        <f t="shared" si="1"/>
        <v>0</v>
      </c>
    </row>
    <row r="26" spans="1:51" x14ac:dyDescent="0.35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61</v>
      </c>
      <c r="AX26" t="s">
        <v>7</v>
      </c>
      <c r="AY26" s="3">
        <f t="shared" si="1"/>
        <v>0</v>
      </c>
    </row>
    <row r="27" spans="1:51" x14ac:dyDescent="0.35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61</v>
      </c>
      <c r="AX27" t="s">
        <v>12</v>
      </c>
      <c r="AY27" s="3">
        <f t="shared" si="1"/>
        <v>0</v>
      </c>
    </row>
    <row r="28" spans="1:51" x14ac:dyDescent="0.35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53</v>
      </c>
      <c r="AX28" t="s">
        <v>14</v>
      </c>
      <c r="AY28" s="3">
        <f t="shared" si="1"/>
        <v>11614.690000000002</v>
      </c>
    </row>
    <row r="29" spans="1:51" x14ac:dyDescent="0.35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53</v>
      </c>
      <c r="AX29" t="s">
        <v>9</v>
      </c>
      <c r="AY29" s="3">
        <f t="shared" si="1"/>
        <v>2064.44</v>
      </c>
    </row>
    <row r="30" spans="1:51" x14ac:dyDescent="0.35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53</v>
      </c>
      <c r="AX30" t="s">
        <v>21</v>
      </c>
      <c r="AY30" s="3">
        <f t="shared" si="1"/>
        <v>389.74</v>
      </c>
    </row>
    <row r="31" spans="1:51" x14ac:dyDescent="0.35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53</v>
      </c>
      <c r="AX31" t="s">
        <v>7</v>
      </c>
      <c r="AY31" s="3">
        <f t="shared" si="1"/>
        <v>3356.0000000000005</v>
      </c>
    </row>
    <row r="32" spans="1:51" x14ac:dyDescent="0.35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53</v>
      </c>
      <c r="AX32" t="s">
        <v>12</v>
      </c>
      <c r="AY32" s="3">
        <f t="shared" si="1"/>
        <v>4404.9199999999992</v>
      </c>
    </row>
    <row r="33" spans="1:51" x14ac:dyDescent="0.35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54</v>
      </c>
      <c r="AX33" t="s">
        <v>14</v>
      </c>
      <c r="AY33" s="3">
        <f t="shared" si="1"/>
        <v>7264.0700000000006</v>
      </c>
    </row>
    <row r="34" spans="1:51" x14ac:dyDescent="0.35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54</v>
      </c>
      <c r="AX34" t="s">
        <v>9</v>
      </c>
      <c r="AY34" s="3">
        <f t="shared" si="1"/>
        <v>1870.42</v>
      </c>
    </row>
    <row r="35" spans="1:51" x14ac:dyDescent="0.35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 t="shared" ref="AV35:AV66" si="2">_xlfn.XLOOKUP(AW35,C:C,D:D)</f>
        <v>Chicago</v>
      </c>
      <c r="AW35" t="s">
        <v>54</v>
      </c>
      <c r="AX35" t="s">
        <v>21</v>
      </c>
      <c r="AY35" s="3">
        <f t="shared" ref="AY35:AY66" si="3">SUMIFS(I:I,D:D,_xlfn.SINGLE(region),C:C,AW35,G:G,AX35,A:A,_xlfn.SINGLE(CurYear),B:B,_xlfn.SINGLE(CurMonth))</f>
        <v>2643.4500000000003</v>
      </c>
    </row>
    <row r="36" spans="1:51" x14ac:dyDescent="0.35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54</v>
      </c>
      <c r="AX36" t="s">
        <v>7</v>
      </c>
      <c r="AY36" s="3">
        <f t="shared" si="3"/>
        <v>1386.08</v>
      </c>
    </row>
    <row r="37" spans="1:51" x14ac:dyDescent="0.35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54</v>
      </c>
      <c r="AX37" t="s">
        <v>12</v>
      </c>
      <c r="AY37" s="3">
        <f t="shared" si="3"/>
        <v>2967.7599999999998</v>
      </c>
    </row>
    <row r="38" spans="1:51" x14ac:dyDescent="0.35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55</v>
      </c>
      <c r="AX38" t="s">
        <v>14</v>
      </c>
      <c r="AY38" s="3">
        <f t="shared" si="3"/>
        <v>5912.5400000000009</v>
      </c>
    </row>
    <row r="39" spans="1:51" x14ac:dyDescent="0.35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55</v>
      </c>
      <c r="AX39" t="s">
        <v>9</v>
      </c>
      <c r="AY39" s="3">
        <f t="shared" si="3"/>
        <v>2679.7799999999997</v>
      </c>
    </row>
    <row r="40" spans="1:51" x14ac:dyDescent="0.35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55</v>
      </c>
      <c r="AX40" t="s">
        <v>21</v>
      </c>
      <c r="AY40" s="3">
        <f t="shared" si="3"/>
        <v>1759.0099999999998</v>
      </c>
    </row>
    <row r="41" spans="1:51" x14ac:dyDescent="0.35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55</v>
      </c>
      <c r="AX41" t="s">
        <v>7</v>
      </c>
      <c r="AY41" s="3">
        <f t="shared" si="3"/>
        <v>4014.55</v>
      </c>
    </row>
    <row r="42" spans="1:51" x14ac:dyDescent="0.35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55</v>
      </c>
      <c r="AX42" t="s">
        <v>12</v>
      </c>
      <c r="AY42" s="3">
        <f t="shared" si="3"/>
        <v>6524.26</v>
      </c>
    </row>
    <row r="43" spans="1:51" x14ac:dyDescent="0.35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57</v>
      </c>
      <c r="AX43" t="s">
        <v>14</v>
      </c>
      <c r="AY43" s="3">
        <f t="shared" si="3"/>
        <v>13971.98</v>
      </c>
    </row>
    <row r="44" spans="1:51" x14ac:dyDescent="0.35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57</v>
      </c>
      <c r="AX44" t="s">
        <v>9</v>
      </c>
      <c r="AY44" s="3">
        <f t="shared" si="3"/>
        <v>4241.28</v>
      </c>
    </row>
    <row r="45" spans="1:51" x14ac:dyDescent="0.35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57</v>
      </c>
      <c r="AX45" t="s">
        <v>21</v>
      </c>
      <c r="AY45" s="3">
        <f t="shared" si="3"/>
        <v>2660.5299999999997</v>
      </c>
    </row>
    <row r="46" spans="1:51" x14ac:dyDescent="0.35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57</v>
      </c>
      <c r="AX46" t="s">
        <v>7</v>
      </c>
      <c r="AY46" s="3">
        <f t="shared" si="3"/>
        <v>7464.3899999999994</v>
      </c>
    </row>
    <row r="47" spans="1:51" x14ac:dyDescent="0.35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57</v>
      </c>
      <c r="AX47" t="s">
        <v>12</v>
      </c>
      <c r="AY47" s="3">
        <f t="shared" si="3"/>
        <v>7763.5800000000008</v>
      </c>
    </row>
    <row r="48" spans="1:51" x14ac:dyDescent="0.35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62</v>
      </c>
      <c r="AX48" t="s">
        <v>14</v>
      </c>
      <c r="AY48" s="3">
        <f t="shared" si="3"/>
        <v>0</v>
      </c>
    </row>
    <row r="49" spans="1:51" x14ac:dyDescent="0.35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62</v>
      </c>
      <c r="AX49" t="s">
        <v>9</v>
      </c>
      <c r="AY49" s="3">
        <f t="shared" si="3"/>
        <v>0</v>
      </c>
    </row>
    <row r="50" spans="1:51" x14ac:dyDescent="0.35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62</v>
      </c>
      <c r="AX50" t="s">
        <v>21</v>
      </c>
      <c r="AY50" s="3">
        <f t="shared" si="3"/>
        <v>0</v>
      </c>
    </row>
    <row r="51" spans="1:51" x14ac:dyDescent="0.35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62</v>
      </c>
      <c r="AX51" t="s">
        <v>7</v>
      </c>
      <c r="AY51" s="3">
        <f t="shared" si="3"/>
        <v>0</v>
      </c>
    </row>
    <row r="52" spans="1:51" x14ac:dyDescent="0.35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62</v>
      </c>
      <c r="AX52" t="s">
        <v>12</v>
      </c>
      <c r="AY52" s="3">
        <f t="shared" si="3"/>
        <v>0</v>
      </c>
    </row>
    <row r="53" spans="1:51" x14ac:dyDescent="0.35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35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35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35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35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35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35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35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35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35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35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35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35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35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35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35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35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35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35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35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35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35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35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35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35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35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35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35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35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35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35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35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35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35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35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35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35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35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35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35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35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35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35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35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35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35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35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35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35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35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35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35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35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35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35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35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35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35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35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35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35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35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35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35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35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35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35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35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35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35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35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35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35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35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35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35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35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35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35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35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35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35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35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35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35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35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35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35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35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35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35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35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35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35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35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35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35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35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35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35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35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35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35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35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35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35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35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35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35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35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35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35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35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35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35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35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35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35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35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35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35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35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35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35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35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35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35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35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35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35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35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35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35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35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35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35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35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35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35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35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35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35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35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35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35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35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35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35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35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35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35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35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35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35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35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35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35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35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35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35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35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35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35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35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35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35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35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35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35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35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35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35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35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35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35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35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35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35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35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35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35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35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35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35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35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35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35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35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35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35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35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35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35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35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35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35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35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35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35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35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35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35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35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35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35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35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35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35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35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35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35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35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35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35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35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35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35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35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35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35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35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35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35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35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35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35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35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35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35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35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35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35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35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35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35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35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35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35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35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35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35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35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35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35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35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35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35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35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35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35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35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35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35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35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35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35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35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35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35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35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35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35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35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35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35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35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35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35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35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35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35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35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35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35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35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35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35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35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35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35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35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35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35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35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35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35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35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35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35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35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35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35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35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35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35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35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35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35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35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35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35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35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35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35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35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35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35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35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35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35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35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35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35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35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35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35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35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35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35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35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35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35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35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35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35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35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35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35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35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35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35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35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35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35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35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35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35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35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35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35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35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35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35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35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35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35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35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35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35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35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35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35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35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35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35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35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35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35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35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35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35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35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35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35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35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35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35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35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35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35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35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35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35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35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35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35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35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35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35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35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35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35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35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35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35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35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35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35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35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35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35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35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35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35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35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35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35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35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35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35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35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35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35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35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35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35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35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35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35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35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35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35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35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35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35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35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35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35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35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35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35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35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35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35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35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35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35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35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35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35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35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35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35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35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35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35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35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35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35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35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35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35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35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35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35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35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35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35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35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35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35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35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35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35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35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35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35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35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35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35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35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35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35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35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35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35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35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35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35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35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35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35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35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35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35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35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35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35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35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35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35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35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35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35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35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35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35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35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35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35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35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35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35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35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35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35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35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35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35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35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35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35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35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35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35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35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35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35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35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35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35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35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35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35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35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35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35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35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35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35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35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35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35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35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35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35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35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35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35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35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35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35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35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35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35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35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35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35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35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35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35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35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35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35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35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35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35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35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35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35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35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35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35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35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35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35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35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35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35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35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35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35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35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35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35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35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35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35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35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35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35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35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35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35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35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35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35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35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35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35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35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35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35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35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35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35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35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35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35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35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35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35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35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35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35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35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35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35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35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35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35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35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35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35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35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35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35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35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35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35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35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35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35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35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35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35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35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35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35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35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35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35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35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35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35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35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35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35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35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35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35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35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35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35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35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35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35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35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35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35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35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35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35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35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35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35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35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35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35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35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35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35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35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35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35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35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35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35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35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35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35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35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35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35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35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35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35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35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35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35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35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35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35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35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35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35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35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35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35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35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35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35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35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35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35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35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35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35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35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35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35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35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35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35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35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35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35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35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35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35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35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35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35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35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35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35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35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35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35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35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35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35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35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35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35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35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35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35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35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35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35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35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35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35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35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35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35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35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35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35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35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35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35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35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35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35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35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35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35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35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35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35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35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35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35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35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35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35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35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35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35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35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35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35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35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35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35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35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35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35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35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35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35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35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35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35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35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35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35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35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35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35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35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35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35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35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35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35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35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35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35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35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35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35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35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35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35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35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35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35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35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35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35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35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35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35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35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35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35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35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35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35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35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35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35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35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35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35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35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35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35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35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35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35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35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35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35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35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35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35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35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35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35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35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35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35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35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35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35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35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35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35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35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35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35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35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35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35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35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35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35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35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35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35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35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35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35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35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35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35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35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35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35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35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35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35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35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35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35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35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35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35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35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35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35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35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35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35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35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35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35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35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35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35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35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35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35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35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35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35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35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35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35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35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35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35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35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35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35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35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35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35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35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35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35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35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35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35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35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35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35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35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35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35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35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35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35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35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35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35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35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35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35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35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35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35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35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35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35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35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35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35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35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35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35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35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35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35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35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35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35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35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35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35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35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35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35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35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35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35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35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35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35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35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35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35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35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35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35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35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35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35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35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35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35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35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35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35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35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35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35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35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35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35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35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35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35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35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35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35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35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35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35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35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35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35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35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35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35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35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35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35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35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35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35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35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35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35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35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35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35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35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35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35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35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35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35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35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35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35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35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35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35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35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35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35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35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35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35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35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35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35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35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35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35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35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35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35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35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35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35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35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35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35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35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35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35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35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35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35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35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35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35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35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35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35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35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35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35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35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35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35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35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35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35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35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35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35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35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35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35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35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35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35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35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35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35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35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35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35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35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35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35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35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35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35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35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35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35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35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35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35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35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35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35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35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35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35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35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35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35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35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35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35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35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35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35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35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35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35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35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35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35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35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35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35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35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35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35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35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35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35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35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35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35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35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35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35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35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35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35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35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35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35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35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35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35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35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35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35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35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35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35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35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35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35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35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35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35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35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35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35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35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35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35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35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35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35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35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35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35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35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35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35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35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35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35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35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35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35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35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35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35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35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35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35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35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35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35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35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35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35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35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35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35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35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35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35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35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35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35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35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35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35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35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35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35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35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35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35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35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35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35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35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35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35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35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35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35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35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35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35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35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35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35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35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35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35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35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35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35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35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35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35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35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35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35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35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35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35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35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35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35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35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35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35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35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35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35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35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35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35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35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35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35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35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35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35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35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35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35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35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35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35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35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35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35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35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35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35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35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35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35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35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35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35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35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35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35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35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35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35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35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35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35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35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35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35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35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35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35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35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35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35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35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35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35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35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35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35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35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35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35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35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35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35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35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35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35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35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35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35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35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35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35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35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35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35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35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35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35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35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35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35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35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35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35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35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35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35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35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35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35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35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35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35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35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35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35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35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35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35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35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35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35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35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35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35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35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35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35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35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35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35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35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35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35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35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35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35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35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35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35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35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35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35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35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35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35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35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35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35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35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35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35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35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35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35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35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35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35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35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35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35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35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35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35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35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35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35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35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35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35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35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35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35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35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35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35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35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35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35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35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35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35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35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35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35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35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35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35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35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35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35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35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35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35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35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35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35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35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35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35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35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35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35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35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35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35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35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35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35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35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35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35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35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35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35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35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35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35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35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35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35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35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35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35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35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35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35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35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35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35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35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35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35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35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35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35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35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35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35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35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35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35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35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35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35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35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35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35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35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35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35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35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35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35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35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35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35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35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35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35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35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35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35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35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35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35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35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35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35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35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35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35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35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35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35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35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35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35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35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35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35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35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35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35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35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35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35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35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35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35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35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35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35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35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35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35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35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35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35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35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35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35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35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35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35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35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35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35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35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35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35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35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35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35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35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35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35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35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35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35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35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35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35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35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35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35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35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35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35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35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35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35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35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35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35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35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35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35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35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35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35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35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35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35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35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35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35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35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35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35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35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35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35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35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35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35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35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35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35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35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35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35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35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35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35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35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35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35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35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35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35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35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35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35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35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35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35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35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35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35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35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35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35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35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35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35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35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35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35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35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35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35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35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35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35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35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35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35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35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35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35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35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35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35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35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35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35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35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35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35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35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35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35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35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35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35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35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35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35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35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35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35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35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35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35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35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35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35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35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35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35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35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35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35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35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35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35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35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35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35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35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35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35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35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35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35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35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35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35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35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35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35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35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35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35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35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35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35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35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35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35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35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35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35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35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35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35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35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35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35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35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35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35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35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35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35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35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35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35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35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35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35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35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35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35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35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35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35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35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35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35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35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35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35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35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35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35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35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35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35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35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35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35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35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35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35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35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35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35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35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35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35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35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35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35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35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35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35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35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35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35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35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35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35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35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35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35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35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35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35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35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35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35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35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35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35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35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35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35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35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35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35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35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35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35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35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35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35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35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35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35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35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35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35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35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35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35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35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35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35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35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35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35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35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35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35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35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35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35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35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35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35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35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35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35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35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35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35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35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35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35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35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35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35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35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35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35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35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35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35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35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35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35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35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35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35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35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35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35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35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35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35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35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35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35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35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35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35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35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35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35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35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35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35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35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35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35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35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35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35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35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35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35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35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35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35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35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35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35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35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35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35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35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35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35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35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35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35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35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35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35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35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35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35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35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35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35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35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35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35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35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35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35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35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35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35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35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35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35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35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35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35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35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35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35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35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35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35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35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35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35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35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35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35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35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35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35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35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35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35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35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35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35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35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35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35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35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35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35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35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35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35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35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35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35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35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35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35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35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35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35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35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35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35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35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35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35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35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35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35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35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35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35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35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35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35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35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35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35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35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35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35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35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35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35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35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35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35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35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35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35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35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35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35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35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35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35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35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35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35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35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35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35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35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35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35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35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35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35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35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35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35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35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35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35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35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35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35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35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35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35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35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35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35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35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35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35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35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35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35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35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35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35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35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35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35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35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35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35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35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35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35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35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35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35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35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35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35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35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35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35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35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35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35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35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35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35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35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35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35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35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35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35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35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35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35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35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35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35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35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35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35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35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35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35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35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35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35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35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35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35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35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35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35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35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35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35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35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35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35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35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35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35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35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35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35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35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35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35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35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35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35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35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35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35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35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35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35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35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35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35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35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35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35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35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35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35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35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35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35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35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35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35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35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35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35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35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35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35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35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35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35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35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35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35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35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35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35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35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35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35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35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35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35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35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35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35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35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35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35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35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35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35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35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35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35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35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35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35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35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35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35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35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35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35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35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35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35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35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35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35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35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35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35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35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35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35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35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35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35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35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35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35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35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35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35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35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35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35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35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35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35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35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35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35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35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35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35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35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35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35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35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35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35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35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35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35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35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35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35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35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35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35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35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35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35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35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35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35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35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35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35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35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35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35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35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35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35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35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35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35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35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35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35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35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35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35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35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35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35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35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35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35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35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35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35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35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35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35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35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35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35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35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35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35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35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35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35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35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35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35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35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35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35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35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35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35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35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35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35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35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35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35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35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35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35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35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35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35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35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35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35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35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35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35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35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35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35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35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35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35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35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35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35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35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35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35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35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35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35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35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35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35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35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35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35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35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35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35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35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35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35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35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35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35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35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35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35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35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35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35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35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35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35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35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35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35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35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35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35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35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35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35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35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35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35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35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35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35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35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35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35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35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35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35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35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35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35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35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35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35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35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35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35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35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35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35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35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35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35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35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35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35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35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35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35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35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35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35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35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35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35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35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35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35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35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35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35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35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35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35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35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35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35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35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35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35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35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35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35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35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35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35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35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35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35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35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35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35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35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35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35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35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35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35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35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35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35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35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35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35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35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35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35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35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35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35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35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35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35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35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35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35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35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35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35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35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35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35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35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35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35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35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35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35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35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35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35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35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35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35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35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35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35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35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35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35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35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35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35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35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35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35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35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35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35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35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35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35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35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35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35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35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35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35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35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35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35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35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35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35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35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35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35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35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35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35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35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35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35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35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35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35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35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35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35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35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35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35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35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35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35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35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35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35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35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35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35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35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35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35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35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35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35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35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35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35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35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35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35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35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35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35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35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35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35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35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35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35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35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35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35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35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35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35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35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35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35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35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35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35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35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35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35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35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35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35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35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35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35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35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35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35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35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35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35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35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35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35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35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35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35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35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35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35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35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35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35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35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35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35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35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35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35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35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35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35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35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35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35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35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35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35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35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35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35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35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35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35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35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35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35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35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35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35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35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35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35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35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35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35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35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35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35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35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35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35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35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35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35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35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35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35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35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35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35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35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35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35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35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35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35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35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35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35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35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35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35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35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35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35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35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35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35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35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35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35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35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35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35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35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35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35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35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35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35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35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35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35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35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35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35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35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35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35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35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35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35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35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35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35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35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35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35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35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35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35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35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35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35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35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35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35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35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35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35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35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35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35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35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35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35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35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35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35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35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35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35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35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35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35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35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35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35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35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35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35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35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35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35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35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35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35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35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35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35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35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35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35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35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35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35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35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35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35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35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35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35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35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35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35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35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35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35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35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35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35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35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35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35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35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35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35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35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35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35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35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35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35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35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35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35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35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35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35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35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35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35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35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35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35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35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35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35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35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35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35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35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35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35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35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35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35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35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35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35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35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35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35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35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35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35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35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35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35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35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35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35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35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35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35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35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35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35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35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35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35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35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35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35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35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35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35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35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35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35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35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35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35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35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35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35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35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35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35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35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35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35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35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35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35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35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35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35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35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35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35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35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35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35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35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35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35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35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35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35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35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35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35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35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35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35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35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35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35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35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35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35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35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35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35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35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35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35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35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35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35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35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35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35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35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35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35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35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35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35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35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35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35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35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35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35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35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35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35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35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35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35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35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35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35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35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35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35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35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35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35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35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35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35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35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35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35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35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35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35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35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35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35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35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35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35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35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35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35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35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35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35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35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35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35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35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35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35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35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35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35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35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35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35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35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35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35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35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35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35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35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35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35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35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35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35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35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35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35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35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35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35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35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35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35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35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35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35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35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35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35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35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35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35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35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35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35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35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35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35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35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35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35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35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35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35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35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35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35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35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35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35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35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35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35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35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35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35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35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35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35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35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35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35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35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35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35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35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35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35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35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35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35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35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35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35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35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35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35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35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35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35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35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35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35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35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35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35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35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35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35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35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35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35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35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35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35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35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35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35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35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35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35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35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35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35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35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35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35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35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35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35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35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35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35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35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35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35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35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35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35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35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35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35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35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35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35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35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35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35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35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35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35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35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35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35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35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35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35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35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35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35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35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35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35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35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35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35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35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35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35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35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35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35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35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35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35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35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35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35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35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35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35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35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35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35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35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35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35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35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35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35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35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35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35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35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35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35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35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35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35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35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35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35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35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35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35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35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35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35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35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35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35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35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35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35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35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35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35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35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35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35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35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35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35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35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35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35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35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35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35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35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35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35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35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35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35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35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35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35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35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35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35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35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35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35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35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35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35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35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35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35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35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35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35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35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35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35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35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35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35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35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35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35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35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35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35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35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35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35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35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35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35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35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35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35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35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35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35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35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35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35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35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35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35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35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35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35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35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35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35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35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35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35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35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35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35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35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35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35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35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35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35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35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35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35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35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35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35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35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35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35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35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35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35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35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35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35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35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35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35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35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35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35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35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35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35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35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35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35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35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35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35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35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35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35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35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35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35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35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35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35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35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35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35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35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35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35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35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35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35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35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35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35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35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35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35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35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35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35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35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35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35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35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35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35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35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35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35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35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35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35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35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35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35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35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35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35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35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35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35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35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35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35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35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35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35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35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35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35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35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35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35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35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35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35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35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35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35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35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35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35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35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35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35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35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35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35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35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35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35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35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35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35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35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35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35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35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35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35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35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35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35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35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35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35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35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35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35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35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35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35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35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35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35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35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35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35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35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35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35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35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35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35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35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35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35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35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35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35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35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35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35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35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35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35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35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35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35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35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35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35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35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35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35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35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35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35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35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35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35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35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35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35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35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35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35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35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35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35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35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35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35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35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35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35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35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35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35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35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35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35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35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35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35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35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35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35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35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35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35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35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35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35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35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35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35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35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35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35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35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35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35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35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35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35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35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35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35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35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35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35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35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35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35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35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35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35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35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35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35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35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35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35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35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35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35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35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35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35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35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35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35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35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35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35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35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35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35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35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35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35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35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35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35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35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35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35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35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35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35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35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35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35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35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35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35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35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35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35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35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35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35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35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35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35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35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35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35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35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35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35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35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35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35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35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35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35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35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35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35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35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35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35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35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35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35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35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35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35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35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35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35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35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35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35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35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35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35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35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35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35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35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35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35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35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35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35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35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35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35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35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35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35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35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35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35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35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35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35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35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35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35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35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35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35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35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35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35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35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35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35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35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35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35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35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35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35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35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35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35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35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35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35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35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35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35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35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35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35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35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35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35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35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35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35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35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35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35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35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35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35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35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35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35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35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35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35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35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35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35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35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35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35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35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35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35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35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35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35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35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35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35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35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35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35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35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35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35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35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35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35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35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35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35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35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35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35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35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35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35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35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35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35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35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35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35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35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35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35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35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35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35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35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35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35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35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35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35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35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35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35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35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35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35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35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35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35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35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35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35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35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35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35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35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35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35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35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35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35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35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35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35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35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35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35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35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35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35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35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35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35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35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35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35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35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35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35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35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35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35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35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35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35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35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35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35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35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35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35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35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35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35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35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35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35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35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35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35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35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35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35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35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35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35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35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35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35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35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35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35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35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35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35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35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35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35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35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35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35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35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35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35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35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35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35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35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35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35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35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35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35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35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35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35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35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35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35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35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35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35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35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35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35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35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35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35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35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35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35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35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35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35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35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35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35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35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35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35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35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35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35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35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35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35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35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35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35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35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35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35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35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35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35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35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35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35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35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35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35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35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35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35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35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35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35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35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35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35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35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35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35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35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35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35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35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35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35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35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35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35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35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35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35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35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35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35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35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35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35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35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35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35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35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35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35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35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35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35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35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35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35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35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35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35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35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35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35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35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35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35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35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35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35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35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35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35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35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35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35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35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35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35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35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35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35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35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35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35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35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35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35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35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35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35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35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35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35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35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35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35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35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35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35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35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35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35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35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35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35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35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35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35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35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35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35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35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35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35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35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35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35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35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35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35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35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35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35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35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35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35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35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35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35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35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35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35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35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35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35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35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35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35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35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35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35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35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35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35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35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35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35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35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35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35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35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35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35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35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35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35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35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35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35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35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35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35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35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35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35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35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35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35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35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35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35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35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35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35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35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35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35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35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35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35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35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35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35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35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35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35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35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35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35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35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35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35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35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35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35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35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35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35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35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35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35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35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35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35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35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35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35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35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35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35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35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35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35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35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35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35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35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35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35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35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35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35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35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35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35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35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35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35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35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35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35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35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35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35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35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35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35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35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35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35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35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35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35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35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35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35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35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35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35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35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35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35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35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35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35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35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35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35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35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35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35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35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35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35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35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35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35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35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35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35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35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35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35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35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35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35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35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35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35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35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35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35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35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35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35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35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35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35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35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35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35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35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35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35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35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35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35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35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35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35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35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35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35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35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35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35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35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35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35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35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35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35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35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35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35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35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35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35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35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35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35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35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35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35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35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35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35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35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35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35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35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35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35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35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35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35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35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35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35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35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35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35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35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35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35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35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35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35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35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35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35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35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35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35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35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35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35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35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35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35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35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35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35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35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35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35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35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35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35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35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35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35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35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35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35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35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35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35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35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35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35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35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35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35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35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35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35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35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35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35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35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35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35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35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35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35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35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35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35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35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35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35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35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35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35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35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35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35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35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35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35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35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35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35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35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35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35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35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35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35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35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35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35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35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35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35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35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35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35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35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35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35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35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35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35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35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35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35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35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35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35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35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35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35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35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35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35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35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35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35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35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35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35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35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35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35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35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35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35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35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35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35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35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35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35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35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35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35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35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35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35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35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35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35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35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35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35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35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35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35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35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35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35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35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35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35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35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35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35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35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35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35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35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35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35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35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35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35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35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35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35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35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35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35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35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35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35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35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35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35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35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35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35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35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35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35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35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35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35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35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35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35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35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35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35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35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35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35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35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35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35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35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35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35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35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35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35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35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35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35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35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35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35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35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35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35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35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35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35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35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EF3E-CEB4-4B1B-8FF6-849F0CB29F43}">
  <dimension ref="A1:AE36"/>
  <sheetViews>
    <sheetView topLeftCell="A5" zoomScale="50" zoomScaleNormal="50" workbookViewId="0">
      <selection activeCell="B14" sqref="B14"/>
    </sheetView>
  </sheetViews>
  <sheetFormatPr defaultRowHeight="14.5" x14ac:dyDescent="0.35"/>
  <cols>
    <col min="1" max="1" width="19.7265625" bestFit="1" customWidth="1"/>
    <col min="2" max="2" width="10.453125" bestFit="1" customWidth="1"/>
    <col min="4" max="4" width="17.90625" bestFit="1" customWidth="1"/>
    <col min="8" max="8" width="12.453125" bestFit="1" customWidth="1"/>
    <col min="12" max="12" width="12.1796875" bestFit="1" customWidth="1"/>
    <col min="13" max="13" width="12.1796875" customWidth="1"/>
    <col min="15" max="15" width="18.90625" bestFit="1" customWidth="1"/>
    <col min="16" max="17" width="8.7265625" customWidth="1"/>
    <col min="18" max="18" width="9.81640625" bestFit="1" customWidth="1"/>
    <col min="20" max="20" width="19.81640625" customWidth="1"/>
    <col min="21" max="21" width="14.26953125" customWidth="1"/>
    <col min="22" max="22" width="13.453125" customWidth="1"/>
    <col min="28" max="28" width="9" bestFit="1" customWidth="1"/>
    <col min="29" max="29" width="15.81640625" customWidth="1"/>
    <col min="30" max="30" width="12.08984375" customWidth="1"/>
    <col min="31" max="31" width="14.08984375" customWidth="1"/>
  </cols>
  <sheetData>
    <row r="1" spans="1:31" ht="16" thickBot="1" x14ac:dyDescent="0.4">
      <c r="A1" s="7" t="s">
        <v>76</v>
      </c>
      <c r="B1" s="7"/>
      <c r="D1" s="13" t="s">
        <v>83</v>
      </c>
      <c r="E1" s="13"/>
      <c r="G1" s="13" t="s">
        <v>90</v>
      </c>
      <c r="H1" s="13"/>
      <c r="I1" s="13"/>
      <c r="J1" s="13"/>
      <c r="L1" s="13" t="s">
        <v>107</v>
      </c>
      <c r="M1" s="13"/>
      <c r="N1" s="13"/>
      <c r="O1" s="13"/>
      <c r="P1" s="13"/>
      <c r="Q1" s="13"/>
      <c r="R1" s="13"/>
      <c r="T1" s="13" t="s">
        <v>111</v>
      </c>
      <c r="U1" s="13"/>
      <c r="V1" s="13"/>
      <c r="W1" s="13"/>
      <c r="X1" s="13"/>
      <c r="Y1" s="13"/>
      <c r="AB1" s="13" t="s">
        <v>116</v>
      </c>
      <c r="AC1" s="13"/>
      <c r="AD1" s="13"/>
      <c r="AE1" s="13"/>
    </row>
    <row r="2" spans="1:31" x14ac:dyDescent="0.35">
      <c r="A2" s="9" t="s">
        <v>52</v>
      </c>
      <c r="B2" s="9" t="s">
        <v>75</v>
      </c>
      <c r="D2" s="11" t="s">
        <v>84</v>
      </c>
      <c r="E2" s="12">
        <f>SUMIFS(Data[Revenue],Data[Region],region,Data[Month],CurMonth,Data[Year],CurYear)</f>
        <v>94953.469999999958</v>
      </c>
      <c r="G2" s="15" t="s">
        <v>91</v>
      </c>
      <c r="H2" s="15" t="s">
        <v>92</v>
      </c>
      <c r="I2" s="15">
        <f>PrevYear</f>
        <v>2020</v>
      </c>
      <c r="J2" s="15">
        <f>CurYear</f>
        <v>2021</v>
      </c>
      <c r="L2" s="15" t="s">
        <v>108</v>
      </c>
      <c r="M2" s="15" t="s">
        <v>52</v>
      </c>
      <c r="N2" s="15" t="s">
        <v>46</v>
      </c>
      <c r="O2" s="15" t="s">
        <v>109</v>
      </c>
      <c r="P2" s="15" t="s">
        <v>110</v>
      </c>
      <c r="Q2" s="15" t="s">
        <v>75</v>
      </c>
      <c r="R2" s="15" t="s">
        <v>75</v>
      </c>
      <c r="T2" s="15" t="s">
        <v>118</v>
      </c>
      <c r="U2" s="15" t="s">
        <v>46</v>
      </c>
      <c r="V2" s="15" t="s">
        <v>112</v>
      </c>
      <c r="W2" s="15" t="s">
        <v>113</v>
      </c>
      <c r="X2" s="15" t="s">
        <v>114</v>
      </c>
      <c r="Y2" s="15" t="s">
        <v>115</v>
      </c>
      <c r="AB2" s="18" t="s">
        <v>117</v>
      </c>
      <c r="AC2" s="18" t="str">
        <f>T2</f>
        <v>Product</v>
      </c>
      <c r="AD2" s="18" t="s">
        <v>46</v>
      </c>
      <c r="AE2" s="19" t="s">
        <v>113</v>
      </c>
    </row>
    <row r="3" spans="1:31" x14ac:dyDescent="0.35">
      <c r="A3" t="s">
        <v>4</v>
      </c>
      <c r="B3" t="str">
        <f>Dashboard!C6</f>
        <v>Chicago</v>
      </c>
      <c r="D3" s="11" t="s">
        <v>85</v>
      </c>
      <c r="E3" s="12">
        <f>SUMIFS(Data[Revenue],Data[Region],region,Data[Month],CurMonth,Data[Year],PrevYear)</f>
        <v>70835.710000000006</v>
      </c>
      <c r="G3">
        <v>1</v>
      </c>
      <c r="H3" t="s">
        <v>93</v>
      </c>
      <c r="I3" s="3">
        <f>SUMIFS(Data[[Revenue]:[Revenue]],Data[[Region]:[Region]],region,Data[[Month]:[Month]],$G3,Data[[Year]:[Year]],'Data Prep'!I$2)</f>
        <v>63051.609999999993</v>
      </c>
      <c r="J3" s="3">
        <f>IF(G3&gt;CurMonth,NA(),SUMIFS(Data[[Revenue]:[Revenue]],Data[[Region]:[Region]],region,Data[[Month]:[Month]],$G3,Data[[Year]:[Year]],'Data Prep'!J$2))</f>
        <v>81321.820000000022</v>
      </c>
      <c r="L3" s="6" t="s">
        <v>59</v>
      </c>
      <c r="M3" s="30" t="str">
        <f>VLOOKUP(L3,Data[[#All],[Store Name]:[Region]],2,0)</f>
        <v>Los Angeles</v>
      </c>
      <c r="N3" s="3">
        <f>SUMIFS(Data[Revenue],Data[Store Name],L3,Data[Month],CurMonth,Data[Year],CurYear)</f>
        <v>12894.550000000001</v>
      </c>
      <c r="O3" s="3">
        <f>SUMIFS(Data[Revenue],Data[Store Name],L3,Data[Month],PrevMonth,Data[Year],PMyear)</f>
        <v>9291.49</v>
      </c>
      <c r="P3" s="16">
        <f>N3/O3-1</f>
        <v>0.38778064659166622</v>
      </c>
      <c r="Q3" s="3">
        <f>IF($M3=region,N3,0)</f>
        <v>0</v>
      </c>
      <c r="R3" s="16">
        <f>IF($M3=region,P3,0)</f>
        <v>0</v>
      </c>
      <c r="T3" s="6" t="s">
        <v>13</v>
      </c>
      <c r="U3" s="3">
        <f>SUMIFS(Data[Revenue],Data[Region],region,Data[Month],CurMonth,Data[Year],CurYear,Data[Product Name],'Data Prep'!T3)</f>
        <v>3965.52</v>
      </c>
      <c r="V3" s="3">
        <f>SUMIFS(Data[Revenue],Data[Region],region,Data[Month],PrevMonth,Data[Year],PMyear,Data[Product Name],'Data Prep'!T3)</f>
        <v>6300.0599999999995</v>
      </c>
      <c r="W3" s="2">
        <f>U3-V3</f>
        <v>-2334.5399999999995</v>
      </c>
      <c r="X3">
        <f>_xlfn.RANK.AVG(W3,$W$3:$W$36,0)</f>
        <v>32</v>
      </c>
      <c r="Y3">
        <f>_xlfn.RANK.AVG(W3,$W$3:$W$36,1)</f>
        <v>3</v>
      </c>
      <c r="AB3" s="20">
        <v>1</v>
      </c>
      <c r="AC3" s="20" t="str">
        <f>INDEX($T$3:$W$36,MATCH($AB3,$X$3:$X$36,0),MATCH(AC$2,$T$2:$W$2,0))</f>
        <v>Lego Bricks</v>
      </c>
      <c r="AD3" s="21">
        <f t="shared" ref="AD3:AE3" si="0">INDEX($T$3:$W$36,MATCH($AB3,$X$3:$X$36,0),MATCH(AD$2,$T$2:$W$2,0))</f>
        <v>19035.240000000002</v>
      </c>
      <c r="AE3" s="22">
        <f t="shared" si="0"/>
        <v>4718.8200000000033</v>
      </c>
    </row>
    <row r="4" spans="1:31" x14ac:dyDescent="0.35">
      <c r="A4" t="s">
        <v>5</v>
      </c>
      <c r="D4" s="11" t="s">
        <v>86</v>
      </c>
      <c r="E4" s="12">
        <f>SUMIFS(Data[Revenue],Data[Region],region,Data[Month],PrevMonth,Data[Year],PMyear)</f>
        <v>91637.330000000016</v>
      </c>
      <c r="G4">
        <v>2</v>
      </c>
      <c r="H4" t="s">
        <v>94</v>
      </c>
      <c r="I4" s="3">
        <f>SUMIFS(Data[[Revenue]:[Revenue]],Data[[Region]:[Region]],region,Data[[Month]:[Month]],$G4,Data[[Year]:[Year]],'Data Prep'!I$2)</f>
        <v>65298.220000000023</v>
      </c>
      <c r="J4" s="3">
        <f>IF(G4&gt;CurMonth,NA(),SUMIFS(Data[[Revenue]:[Revenue]],Data[[Region]:[Region]],region,Data[[Month]:[Month]],$G4,Data[[Year]:[Year]],'Data Prep'!J$2))</f>
        <v>87902.16</v>
      </c>
      <c r="L4" s="6" t="s">
        <v>56</v>
      </c>
      <c r="M4" s="30" t="str">
        <f>VLOOKUP(L4,Data[[#All],[Store Name]:[Region]],2,0)</f>
        <v>Los Angeles</v>
      </c>
      <c r="N4" s="3">
        <f>SUMIFS(Data[Revenue],Data[Store Name],L4,Data[Month],CurMonth,Data[Year],CurYear)</f>
        <v>14836.320000000002</v>
      </c>
      <c r="O4" s="3">
        <f>SUMIFS(Data[Revenue],Data[Store Name],L4,Data[Month],PrevMonth,Data[Year],PMyear)</f>
        <v>11676.369999999999</v>
      </c>
      <c r="P4" s="16">
        <f>N4/O4-1</f>
        <v>0.27062777215864209</v>
      </c>
      <c r="Q4" s="3">
        <f>IF($M4=region,N4,0)</f>
        <v>0</v>
      </c>
      <c r="R4" s="16">
        <f>IF($M4=region,P4,0)</f>
        <v>0</v>
      </c>
      <c r="T4" s="6" t="s">
        <v>24</v>
      </c>
      <c r="U4" s="3">
        <f>SUMIFS(Data[Revenue],Data[Region],region,Data[Month],CurMonth,Data[Year],CurYear,Data[Product Name],'Data Prep'!T4)</f>
        <v>5066.1000000000004</v>
      </c>
      <c r="V4" s="3">
        <f>SUMIFS(Data[Revenue],Data[Region],region,Data[Month],PrevMonth,Data[Year],PMyear,Data[Product Name],'Data Prep'!T4)</f>
        <v>3234.5099999999998</v>
      </c>
      <c r="W4" s="2">
        <f t="shared" ref="W4:W36" si="1">U4-V4</f>
        <v>1831.5900000000006</v>
      </c>
      <c r="X4">
        <f t="shared" ref="X4:X36" si="2">_xlfn.RANK.AVG(W4,$W$3:$W$36,0)</f>
        <v>4</v>
      </c>
      <c r="Y4">
        <f t="shared" ref="Y4:Y36" si="3">_xlfn.RANK.AVG(W4,$W$3:$W$36,1)</f>
        <v>31</v>
      </c>
      <c r="AB4" s="20">
        <v>2</v>
      </c>
      <c r="AC4" s="20" t="str">
        <f>INDEX($T$3:$W$36,MATCH($AB4,$X$3:$X$36,0),MATCH(AC$2,$T$2:$W$2,0))</f>
        <v>Etch A Sketch</v>
      </c>
      <c r="AD4" s="21">
        <f>INDEX($T$3:$W$36,MATCH($AB4,$X$3:$X$36,0),MATCH(AD$2,$T$2:$W$2,0))</f>
        <v>4407.8999999999996</v>
      </c>
      <c r="AE4" s="22">
        <f>INDEX($T$3:$W$36,MATCH($AB4,$X$3:$X$36,0),MATCH(AE$2,$T$2:$W$2,0))</f>
        <v>2896.62</v>
      </c>
    </row>
    <row r="5" spans="1:31" x14ac:dyDescent="0.35">
      <c r="A5" t="s">
        <v>48</v>
      </c>
      <c r="D5" s="11" t="s">
        <v>88</v>
      </c>
      <c r="E5" s="14">
        <f>E2/E3-1</f>
        <v>0.34047459960519832</v>
      </c>
      <c r="G5">
        <v>3</v>
      </c>
      <c r="H5" t="s">
        <v>95</v>
      </c>
      <c r="I5" s="3">
        <f>SUMIFS(Data[[Revenue]:[Revenue]],Data[[Region]:[Region]],region,Data[[Month]:[Month]],$G5,Data[[Year]:[Year]],'Data Prep'!I$2)</f>
        <v>64161.95</v>
      </c>
      <c r="J5" s="3">
        <f>IF(G5&gt;CurMonth,NA(),SUMIFS(Data[[Revenue]:[Revenue]],Data[[Region]:[Region]],region,Data[[Month]:[Month]],$G5,Data[[Year]:[Year]],'Data Prep'!J$2))</f>
        <v>105385.7199999999</v>
      </c>
      <c r="L5" s="6" t="s">
        <v>54</v>
      </c>
      <c r="M5" s="30" t="str">
        <f>VLOOKUP(L5,Data[[#All],[Store Name]:[Region]],2,0)</f>
        <v>Chicago</v>
      </c>
      <c r="N5" s="3">
        <f>SUMIFS(Data[Revenue],Data[Store Name],L5,Data[Month],CurMonth,Data[Year],CurYear)</f>
        <v>16131.78</v>
      </c>
      <c r="O5" s="3">
        <f>SUMIFS(Data[Revenue],Data[Store Name],L5,Data[Month],PrevMonth,Data[Year],PMyear)</f>
        <v>19646.239999999998</v>
      </c>
      <c r="P5" s="16">
        <f>N5/O5-1</f>
        <v>-0.1788871560156039</v>
      </c>
      <c r="Q5" s="3">
        <f>IF($M5=region,N5,0)</f>
        <v>16131.78</v>
      </c>
      <c r="R5" s="16">
        <f>IF($M5=region,P5,0)</f>
        <v>-0.1788871560156039</v>
      </c>
      <c r="T5" s="6" t="s">
        <v>18</v>
      </c>
      <c r="U5" s="3">
        <f>SUMIFS(Data[Revenue],Data[Region],region,Data[Month],CurMonth,Data[Year],CurYear,Data[Product Name],'Data Prep'!T5)</f>
        <v>0</v>
      </c>
      <c r="V5" s="3">
        <f>SUMIFS(Data[Revenue],Data[Region],region,Data[Month],PrevMonth,Data[Year],PMyear,Data[Product Name],'Data Prep'!T5)</f>
        <v>64.95</v>
      </c>
      <c r="W5" s="2">
        <f t="shared" si="1"/>
        <v>-64.95</v>
      </c>
      <c r="X5">
        <f t="shared" si="2"/>
        <v>18</v>
      </c>
      <c r="Y5">
        <f t="shared" si="3"/>
        <v>17</v>
      </c>
      <c r="AB5" s="20">
        <v>3</v>
      </c>
      <c r="AC5" s="20" t="str">
        <f t="shared" ref="AC5:AE7" si="4">INDEX($T$3:$W$36,MATCH($AB5,$X$3:$X$36,0),MATCH(AC$2,$T$2:$W$2,0))</f>
        <v>Nerf Gun</v>
      </c>
      <c r="AD5" s="21">
        <f t="shared" si="4"/>
        <v>5617.19</v>
      </c>
      <c r="AE5" s="22">
        <f t="shared" si="4"/>
        <v>2538.73</v>
      </c>
    </row>
    <row r="6" spans="1:31" x14ac:dyDescent="0.35">
      <c r="D6" s="11" t="s">
        <v>89</v>
      </c>
      <c r="E6" s="14">
        <f>E2/E4-1</f>
        <v>3.6187654092496357E-2</v>
      </c>
      <c r="G6">
        <v>4</v>
      </c>
      <c r="H6" t="s">
        <v>97</v>
      </c>
      <c r="I6" s="3">
        <f>SUMIFS(Data[[Revenue]:[Revenue]],Data[[Region]:[Region]],region,Data[[Month]:[Month]],$G6,Data[[Year]:[Year]],'Data Prep'!I$2)</f>
        <v>80619.25999999998</v>
      </c>
      <c r="J6" s="3">
        <f>IF(G6&gt;CurMonth,NA(),SUMIFS(Data[[Revenue]:[Revenue]],Data[[Region]:[Region]],region,Data[[Month]:[Month]],$G6,Data[[Year]:[Year]],'Data Prep'!J$2))</f>
        <v>99650.11000000003</v>
      </c>
      <c r="L6" s="6" t="s">
        <v>55</v>
      </c>
      <c r="M6" s="30" t="str">
        <f>VLOOKUP(L6,Data[[#All],[Store Name]:[Region]],2,0)</f>
        <v>Chicago</v>
      </c>
      <c r="N6" s="3">
        <f>SUMIFS(Data[Revenue],Data[Store Name],L6,Data[Month],CurMonth,Data[Year],CurYear)</f>
        <v>20890.14</v>
      </c>
      <c r="O6" s="3">
        <f>SUMIFS(Data[Revenue],Data[Store Name],L6,Data[Month],PrevMonth,Data[Year],PMyear)</f>
        <v>24100.490000000009</v>
      </c>
      <c r="P6" s="16">
        <f>N6/O6-1</f>
        <v>-0.13320683521372423</v>
      </c>
      <c r="Q6" s="3">
        <f>IF($M6=region,N6,0)</f>
        <v>20890.14</v>
      </c>
      <c r="R6" s="16">
        <f>IF($M6=region,P6,0)</f>
        <v>-0.13320683521372423</v>
      </c>
      <c r="T6" s="6" t="s">
        <v>30</v>
      </c>
      <c r="U6" s="3">
        <f>SUMIFS(Data[Revenue],Data[Region],region,Data[Month],CurMonth,Data[Year],CurYear,Data[Product Name],'Data Prep'!T6)</f>
        <v>299.7</v>
      </c>
      <c r="V6" s="3">
        <f>SUMIFS(Data[Revenue],Data[Region],region,Data[Month],PrevMonth,Data[Year],PMyear,Data[Product Name],'Data Prep'!T6)</f>
        <v>129.87</v>
      </c>
      <c r="W6" s="2">
        <f t="shared" si="1"/>
        <v>169.82999999999998</v>
      </c>
      <c r="X6">
        <f t="shared" si="2"/>
        <v>12</v>
      </c>
      <c r="Y6">
        <f t="shared" si="3"/>
        <v>23</v>
      </c>
      <c r="AB6" s="20">
        <v>4</v>
      </c>
      <c r="AC6" s="20" t="str">
        <f t="shared" si="4"/>
        <v>Animal Figures</v>
      </c>
      <c r="AD6" s="21">
        <f t="shared" si="4"/>
        <v>5066.1000000000004</v>
      </c>
      <c r="AE6" s="22">
        <f t="shared" si="4"/>
        <v>1831.5900000000006</v>
      </c>
    </row>
    <row r="7" spans="1:31" ht="15.5" x14ac:dyDescent="0.35">
      <c r="A7" s="7" t="s">
        <v>77</v>
      </c>
      <c r="B7" s="7"/>
      <c r="G7">
        <v>5</v>
      </c>
      <c r="H7" t="s">
        <v>98</v>
      </c>
      <c r="I7" s="3">
        <f>SUMIFS(Data[[Revenue]:[Revenue]],Data[[Region]:[Region]],region,Data[[Month]:[Month]],$G7,Data[[Year]:[Year]],'Data Prep'!I$2)</f>
        <v>79560.950000000026</v>
      </c>
      <c r="J7" s="3">
        <f>IF(G7&gt;CurMonth,NA(),SUMIFS(Data[[Revenue]:[Revenue]],Data[[Region]:[Region]],region,Data[[Month]:[Month]],$G7,Data[[Year]:[Year]],'Data Prep'!J$2))</f>
        <v>93467.969999999972</v>
      </c>
      <c r="L7" s="6" t="s">
        <v>53</v>
      </c>
      <c r="M7" s="30" t="str">
        <f>VLOOKUP(L7,Data[[#All],[Store Name]:[Region]],2,0)</f>
        <v>Chicago</v>
      </c>
      <c r="N7" s="3">
        <f>SUMIFS(Data[Revenue],Data[Store Name],L7,Data[Month],CurMonth,Data[Year],CurYear)</f>
        <v>21829.790000000008</v>
      </c>
      <c r="O7" s="3">
        <f>SUMIFS(Data[Revenue],Data[Store Name],L7,Data[Month],PrevMonth,Data[Year],PMyear)</f>
        <v>17645.59</v>
      </c>
      <c r="P7" s="16">
        <f>N7/O7-1</f>
        <v>0.23712440332117013</v>
      </c>
      <c r="Q7" s="3">
        <f>IF($M7=region,N7,0)</f>
        <v>21829.790000000008</v>
      </c>
      <c r="R7" s="16">
        <f>IF($M7=region,P7,0)</f>
        <v>0.23712440332117013</v>
      </c>
      <c r="T7" s="6" t="s">
        <v>20</v>
      </c>
      <c r="U7" s="3">
        <f>SUMIFS(Data[Revenue],Data[Region],region,Data[Month],CurMonth,Data[Year],CurYear,Data[Product Name],'Data Prep'!T7)</f>
        <v>4272.1500000000005</v>
      </c>
      <c r="V7" s="3">
        <f>SUMIFS(Data[Revenue],Data[Region],region,Data[Month],PrevMonth,Data[Year],PMyear,Data[Product Name],'Data Prep'!T7)</f>
        <v>6610.59</v>
      </c>
      <c r="W7" s="2">
        <f t="shared" si="1"/>
        <v>-2338.4399999999996</v>
      </c>
      <c r="X7">
        <f t="shared" si="2"/>
        <v>33</v>
      </c>
      <c r="Y7">
        <f t="shared" si="3"/>
        <v>2</v>
      </c>
      <c r="AB7" s="23">
        <v>5</v>
      </c>
      <c r="AC7" s="23" t="str">
        <f t="shared" si="4"/>
        <v>Kids Makeup Kit</v>
      </c>
      <c r="AD7" s="24">
        <f t="shared" si="4"/>
        <v>3098.45</v>
      </c>
      <c r="AE7" s="25">
        <f t="shared" si="4"/>
        <v>1659.17</v>
      </c>
    </row>
    <row r="8" spans="1:31" x14ac:dyDescent="0.35">
      <c r="A8" s="8" t="s">
        <v>78</v>
      </c>
      <c r="B8" s="10">
        <f>MAX(Data[Year])</f>
        <v>2021</v>
      </c>
      <c r="C8" t="s">
        <v>80</v>
      </c>
      <c r="G8">
        <v>6</v>
      </c>
      <c r="H8" t="s">
        <v>99</v>
      </c>
      <c r="I8" s="3">
        <f>SUMIFS(Data[[Revenue]:[Revenue]],Data[[Region]:[Region]],region,Data[[Month]:[Month]],$G8,Data[[Year]:[Year]],'Data Prep'!I$2)</f>
        <v>85430.399999999965</v>
      </c>
      <c r="J8" s="3">
        <f>IF(G8&gt;CurMonth,NA(),SUMIFS(Data[[Revenue]:[Revenue]],Data[[Region]:[Region]],region,Data[[Month]:[Month]],$G8,Data[[Year]:[Year]],'Data Prep'!J$2))</f>
        <v>91637.330000000016</v>
      </c>
      <c r="L8" s="6" t="s">
        <v>58</v>
      </c>
      <c r="M8" s="30" t="str">
        <f>VLOOKUP(L8,Data[[#All],[Store Name]:[Region]],2,0)</f>
        <v>New York</v>
      </c>
      <c r="N8" s="3">
        <f>SUMIFS(Data[Revenue],Data[Store Name],L8,Data[Month],CurMonth,Data[Year],CurYear)</f>
        <v>22152.709999999995</v>
      </c>
      <c r="O8" s="3">
        <f>SUMIFS(Data[Revenue],Data[Store Name],L8,Data[Month],PrevMonth,Data[Year],PMyear)</f>
        <v>19305.510000000002</v>
      </c>
      <c r="P8" s="16">
        <f>N8/O8-1</f>
        <v>0.1474812113225703</v>
      </c>
      <c r="Q8" s="3">
        <f>IF($M8=region,N8,0)</f>
        <v>0</v>
      </c>
      <c r="R8" s="16">
        <f>IF($M8=region,P8,0)</f>
        <v>0</v>
      </c>
      <c r="T8" s="6" t="s">
        <v>25</v>
      </c>
      <c r="U8" s="3">
        <f>SUMIFS(Data[Revenue],Data[Region],region,Data[Month],CurMonth,Data[Year],CurYear,Data[Product Name],'Data Prep'!T8)</f>
        <v>1375.1399999999999</v>
      </c>
      <c r="V8" s="3">
        <f>SUMIFS(Data[Revenue],Data[Region],region,Data[Month],PrevMonth,Data[Year],PMyear,Data[Product Name],'Data Prep'!T8)</f>
        <v>2126.67</v>
      </c>
      <c r="W8" s="2">
        <f t="shared" si="1"/>
        <v>-751.5300000000002</v>
      </c>
      <c r="X8">
        <f t="shared" si="2"/>
        <v>28</v>
      </c>
      <c r="Y8">
        <f t="shared" si="3"/>
        <v>7</v>
      </c>
    </row>
    <row r="9" spans="1:31" x14ac:dyDescent="0.35">
      <c r="A9" s="8" t="s">
        <v>79</v>
      </c>
      <c r="B9" s="10">
        <f>_xlfn.MAXIFS(Data[Month],Data[Year],CurYear)</f>
        <v>7</v>
      </c>
      <c r="G9">
        <v>7</v>
      </c>
      <c r="H9" t="s">
        <v>100</v>
      </c>
      <c r="I9" s="3">
        <f>SUMIFS(Data[[Revenue]:[Revenue]],Data[[Region]:[Region]],region,Data[[Month]:[Month]],$G9,Data[[Year]:[Year]],'Data Prep'!I$2)</f>
        <v>70835.710000000006</v>
      </c>
      <c r="J9" s="3">
        <f>IF(G9&gt;CurMonth,NA(),SUMIFS(Data[[Revenue]:[Revenue]],Data[[Region]:[Region]],region,Data[[Month]:[Month]],$G9,Data[[Year]:[Year]],'Data Prep'!J$2))</f>
        <v>94953.469999999958</v>
      </c>
      <c r="L9" s="6" t="s">
        <v>62</v>
      </c>
      <c r="M9" s="30" t="str">
        <f>VLOOKUP(L9,Data[[#All],[Store Name]:[Region]],2,0)</f>
        <v>New York</v>
      </c>
      <c r="N9" s="3">
        <f>SUMIFS(Data[Revenue],Data[Store Name],L9,Data[Month],CurMonth,Data[Year],CurYear)</f>
        <v>22817.06</v>
      </c>
      <c r="O9" s="3">
        <f>SUMIFS(Data[Revenue],Data[Store Name],L9,Data[Month],PrevMonth,Data[Year],PMyear)</f>
        <v>20167.499999999996</v>
      </c>
      <c r="P9" s="16">
        <f>N9/O9-1</f>
        <v>0.13137771166480761</v>
      </c>
      <c r="Q9" s="3">
        <f>IF($M9=region,N9,0)</f>
        <v>0</v>
      </c>
      <c r="R9" s="16">
        <f>IF($M9=region,P9,0)</f>
        <v>0</v>
      </c>
      <c r="T9" s="6" t="s">
        <v>8</v>
      </c>
      <c r="U9" s="3">
        <f>SUMIFS(Data[Revenue],Data[Region],region,Data[Month],CurMonth,Data[Year],CurYear,Data[Product Name],'Data Prep'!T9)</f>
        <v>2621.2500000000005</v>
      </c>
      <c r="V9" s="3">
        <f>SUMIFS(Data[Revenue],Data[Region],region,Data[Month],PrevMonth,Data[Year],PMyear,Data[Product Name],'Data Prep'!T9)</f>
        <v>3292.29</v>
      </c>
      <c r="W9" s="2">
        <f t="shared" si="1"/>
        <v>-671.03999999999951</v>
      </c>
      <c r="X9">
        <f t="shared" si="2"/>
        <v>27</v>
      </c>
      <c r="Y9">
        <f t="shared" si="3"/>
        <v>8</v>
      </c>
    </row>
    <row r="10" spans="1:31" x14ac:dyDescent="0.35">
      <c r="A10" s="8" t="s">
        <v>81</v>
      </c>
      <c r="B10" s="10">
        <f>B8-1</f>
        <v>2020</v>
      </c>
      <c r="G10">
        <v>8</v>
      </c>
      <c r="H10" t="s">
        <v>101</v>
      </c>
      <c r="I10" s="3">
        <f>SUMIFS(Data[[Revenue]:[Revenue]],Data[[Region]:[Region]],region,Data[[Month]:[Month]],$G10,Data[[Year]:[Year]],'Data Prep'!I$2)</f>
        <v>55171.65</v>
      </c>
      <c r="J10" s="3" t="e">
        <f>IF(G10&gt;CurMonth,NA(),SUMIFS(Data[[Revenue]:[Revenue]],Data[[Region]:[Region]],region,Data[[Month]:[Month]],$G10,Data[[Year]:[Year]],'Data Prep'!J$2))</f>
        <v>#N/A</v>
      </c>
      <c r="L10" s="6" t="s">
        <v>60</v>
      </c>
      <c r="M10" s="30" t="str">
        <f>VLOOKUP(L10,Data[[#All],[Store Name]:[Region]],2,0)</f>
        <v>New York</v>
      </c>
      <c r="N10" s="3">
        <f>SUMIFS(Data[Revenue],Data[Store Name],L10,Data[Month],CurMonth,Data[Year],CurYear)</f>
        <v>24068.03</v>
      </c>
      <c r="O10" s="3">
        <f>SUMIFS(Data[Revenue],Data[Store Name],L10,Data[Month],PrevMonth,Data[Year],PMyear)</f>
        <v>22176.43</v>
      </c>
      <c r="P10" s="16">
        <f>N10/O10-1</f>
        <v>8.5297768847375277E-2</v>
      </c>
      <c r="Q10" s="3">
        <f>IF($M10=region,N10,0)</f>
        <v>0</v>
      </c>
      <c r="R10" s="16">
        <f>IF($M10=region,P10,0)</f>
        <v>0</v>
      </c>
      <c r="T10" s="6" t="s">
        <v>17</v>
      </c>
      <c r="U10" s="3">
        <f>SUMIFS(Data[Revenue],Data[Region],region,Data[Month],CurMonth,Data[Year],CurYear,Data[Product Name],'Data Prep'!T10)</f>
        <v>4659.76</v>
      </c>
      <c r="V10" s="3">
        <f>SUMIFS(Data[Revenue],Data[Region],region,Data[Month],PrevMonth,Data[Year],PMyear,Data[Product Name],'Data Prep'!T10)</f>
        <v>4516.8900000000003</v>
      </c>
      <c r="W10" s="2">
        <f t="shared" si="1"/>
        <v>142.86999999999989</v>
      </c>
      <c r="X10">
        <f t="shared" si="2"/>
        <v>13</v>
      </c>
      <c r="Y10">
        <f t="shared" si="3"/>
        <v>22</v>
      </c>
    </row>
    <row r="11" spans="1:31" ht="15.5" x14ac:dyDescent="0.35">
      <c r="A11" s="8" t="s">
        <v>82</v>
      </c>
      <c r="B11" s="10">
        <f>IF(B9=1,12,B9-1)</f>
        <v>6</v>
      </c>
      <c r="G11">
        <v>9</v>
      </c>
      <c r="H11" t="s">
        <v>102</v>
      </c>
      <c r="I11" s="3">
        <f>SUMIFS(Data[[Revenue]:[Revenue]],Data[[Region]:[Region]],region,Data[[Month]:[Month]],$G11,Data[[Year]:[Year]],'Data Prep'!I$2)</f>
        <v>67569.269999999975</v>
      </c>
      <c r="J11" s="3" t="e">
        <f>IF(G11&gt;CurMonth,NA(),SUMIFS(Data[[Revenue]:[Revenue]],Data[[Region]:[Region]],region,Data[[Month]:[Month]],$G11,Data[[Year]:[Year]],'Data Prep'!J$2))</f>
        <v>#N/A</v>
      </c>
      <c r="L11" s="6" t="s">
        <v>61</v>
      </c>
      <c r="M11" s="30" t="str">
        <f>VLOOKUP(L11,Data[[#All],[Store Name]:[Region]],2,0)</f>
        <v>Los Angeles</v>
      </c>
      <c r="N11" s="3">
        <f>SUMIFS(Data[Revenue],Data[Store Name],L11,Data[Month],CurMonth,Data[Year],CurYear)</f>
        <v>32052.109999999993</v>
      </c>
      <c r="O11" s="3">
        <f>SUMIFS(Data[Revenue],Data[Store Name],L11,Data[Month],PrevMonth,Data[Year],PMyear)</f>
        <v>25228.359999999997</v>
      </c>
      <c r="P11" s="16">
        <f>N11/O11-1</f>
        <v>0.27047933357538878</v>
      </c>
      <c r="Q11" s="3">
        <f>IF($M11=region,N11,0)</f>
        <v>0</v>
      </c>
      <c r="R11" s="16">
        <f>IF($M11=region,P11,0)</f>
        <v>0</v>
      </c>
      <c r="T11" s="6" t="s">
        <v>28</v>
      </c>
      <c r="U11" s="3">
        <f>SUMIFS(Data[Revenue],Data[Region],region,Data[Month],CurMonth,Data[Year],CurYear,Data[Product Name],'Data Prep'!T11)</f>
        <v>1858.76</v>
      </c>
      <c r="V11" s="3">
        <f>SUMIFS(Data[Revenue],Data[Region],region,Data[Month],PrevMonth,Data[Year],PMyear,Data[Product Name],'Data Prep'!T11)</f>
        <v>1334.1100000000001</v>
      </c>
      <c r="W11" s="2">
        <f t="shared" si="1"/>
        <v>524.64999999999986</v>
      </c>
      <c r="X11">
        <f t="shared" si="2"/>
        <v>9</v>
      </c>
      <c r="Y11">
        <f t="shared" si="3"/>
        <v>26</v>
      </c>
      <c r="AB11" s="13" t="s">
        <v>119</v>
      </c>
      <c r="AC11" s="13"/>
      <c r="AD11" s="13"/>
      <c r="AE11" s="13"/>
    </row>
    <row r="12" spans="1:31" x14ac:dyDescent="0.35">
      <c r="A12" s="8" t="s">
        <v>87</v>
      </c>
      <c r="B12" s="10">
        <f>IF(CurMonth=1,PrevYear,CurYear)</f>
        <v>2021</v>
      </c>
      <c r="G12">
        <v>10</v>
      </c>
      <c r="H12" t="s">
        <v>104</v>
      </c>
      <c r="I12" s="3">
        <f>SUMIFS(Data[[Revenue]:[Revenue]],Data[[Region]:[Region]],region,Data[[Month]:[Month]],$G12,Data[[Year]:[Year]],'Data Prep'!I$2)</f>
        <v>64882.340000000018</v>
      </c>
      <c r="J12" s="3" t="e">
        <f>IF(G12&gt;CurMonth,NA(),SUMIFS(Data[[Revenue]:[Revenue]],Data[[Region]:[Region]],region,Data[[Month]:[Month]],$G12,Data[[Year]:[Year]],'Data Prep'!J$2))</f>
        <v>#N/A</v>
      </c>
      <c r="L12" s="6" t="s">
        <v>57</v>
      </c>
      <c r="M12" s="30" t="str">
        <f>VLOOKUP(L12,Data[[#All],[Store Name]:[Region]],2,0)</f>
        <v>Chicago</v>
      </c>
      <c r="N12" s="3">
        <f>SUMIFS(Data[Revenue],Data[Store Name],L12,Data[Month],CurMonth,Data[Year],CurYear)</f>
        <v>36101.759999999995</v>
      </c>
      <c r="O12" s="3">
        <f>SUMIFS(Data[Revenue],Data[Store Name],L12,Data[Month],PrevMonth,Data[Year],PMyear)</f>
        <v>30245.009999999995</v>
      </c>
      <c r="P12" s="16">
        <f>N12/O12-1</f>
        <v>0.19364351342585118</v>
      </c>
      <c r="Q12" s="3">
        <f>IF($M12=region,N12,0)</f>
        <v>36101.759999999995</v>
      </c>
      <c r="R12" s="16">
        <f>IF($M12=region,P12,0)</f>
        <v>0.19364351342585118</v>
      </c>
      <c r="T12" s="6" t="s">
        <v>32</v>
      </c>
      <c r="U12" s="3">
        <f>SUMIFS(Data[Revenue],Data[Region],region,Data[Month],CurMonth,Data[Year],CurYear,Data[Product Name],'Data Prep'!T12)</f>
        <v>1582.56</v>
      </c>
      <c r="V12" s="3">
        <f>SUMIFS(Data[Revenue],Data[Region],region,Data[Month],PrevMonth,Data[Year],PMyear,Data[Product Name],'Data Prep'!T12)</f>
        <v>1626.5200000000002</v>
      </c>
      <c r="W12" s="2">
        <f t="shared" si="1"/>
        <v>-43.960000000000264</v>
      </c>
      <c r="X12">
        <f t="shared" si="2"/>
        <v>17</v>
      </c>
      <c r="Y12">
        <f t="shared" si="3"/>
        <v>18</v>
      </c>
      <c r="AB12" s="15" t="s">
        <v>117</v>
      </c>
      <c r="AC12" s="15" t="str">
        <f>T12</f>
        <v>Glass Marbles</v>
      </c>
      <c r="AD12" s="15" t="s">
        <v>46</v>
      </c>
      <c r="AE12" s="15" t="s">
        <v>113</v>
      </c>
    </row>
    <row r="13" spans="1:31" x14ac:dyDescent="0.35">
      <c r="A13" s="8" t="s">
        <v>133</v>
      </c>
      <c r="B13" t="str">
        <f>VLOOKUP(CurMonth,A16:B27,2,0)&amp;" "&amp;CurYear</f>
        <v>July 2021</v>
      </c>
      <c r="G13">
        <v>11</v>
      </c>
      <c r="H13" t="s">
        <v>105</v>
      </c>
      <c r="I13" s="3">
        <f>SUMIFS(Data[[Revenue]:[Revenue]],Data[[Region]:[Region]],region,Data[[Month]:[Month]],$G13,Data[[Year]:[Year]],'Data Prep'!I$2)</f>
        <v>73732.52</v>
      </c>
      <c r="J13" s="3" t="e">
        <f>IF(G13&gt;CurMonth,NA(),SUMIFS(Data[[Revenue]:[Revenue]],Data[[Region]:[Region]],region,Data[[Month]:[Month]],$G13,Data[[Year]:[Year]],'Data Prep'!J$2))</f>
        <v>#N/A</v>
      </c>
      <c r="T13" s="6" t="s">
        <v>31</v>
      </c>
      <c r="U13" s="3">
        <f>SUMIFS(Data[Revenue],Data[Region],region,Data[Month],CurMonth,Data[Year],CurYear,Data[Product Name],'Data Prep'!T13)</f>
        <v>3098.45</v>
      </c>
      <c r="V13" s="3">
        <f>SUMIFS(Data[Revenue],Data[Region],region,Data[Month],PrevMonth,Data[Year],PMyear,Data[Product Name],'Data Prep'!T13)</f>
        <v>1439.2799999999997</v>
      </c>
      <c r="W13" s="2">
        <f t="shared" si="1"/>
        <v>1659.17</v>
      </c>
      <c r="X13">
        <f t="shared" si="2"/>
        <v>5</v>
      </c>
      <c r="Y13">
        <f t="shared" si="3"/>
        <v>30</v>
      </c>
      <c r="AB13">
        <v>1</v>
      </c>
      <c r="AC13" t="str">
        <f>INDEX($T$3:$W$36,MATCH($AB13,$Y$3:$Y$36,0),MATCH(AC$2,$T$2:$W$2,0))</f>
        <v>Magic Sand</v>
      </c>
      <c r="AD13" s="3">
        <f>INDEX($T$3:$W$36,MATCH($AB13,$Y$3:$Y$36,0),MATCH(AD$2,$T$2:$W$2,0))</f>
        <v>7243.47</v>
      </c>
      <c r="AE13" s="3">
        <f t="shared" ref="AE13" si="5">INDEX($T$3:$W$36,MATCH($AB13,$Y$3:$Y$36,0),MATCH(AE$2,$T$2:$W$2,0))</f>
        <v>-3277.95</v>
      </c>
    </row>
    <row r="14" spans="1:31" x14ac:dyDescent="0.35">
      <c r="G14">
        <v>12</v>
      </c>
      <c r="H14" t="s">
        <v>106</v>
      </c>
      <c r="I14" s="3">
        <f>SUMIFS(Data[[Revenue]:[Revenue]],Data[[Region]:[Region]],region,Data[[Month]:[Month]],$G14,Data[[Year]:[Year]],'Data Prep'!I$2)</f>
        <v>93356.910000000018</v>
      </c>
      <c r="J14" s="3" t="e">
        <f>IF(G14&gt;CurMonth,NA(),SUMIFS(Data[[Revenue]:[Revenue]],Data[[Region]:[Region]],region,Data[[Month]:[Month]],$G14,Data[[Year]:[Year]],'Data Prep'!J$2))</f>
        <v>#N/A</v>
      </c>
      <c r="T14" s="6" t="s">
        <v>15</v>
      </c>
      <c r="U14" s="3">
        <f>SUMIFS(Data[Revenue],Data[Region],region,Data[Month],CurMonth,Data[Year],CurYear,Data[Product Name],'Data Prep'!T14)</f>
        <v>19035.240000000002</v>
      </c>
      <c r="V14" s="3">
        <f>SUMIFS(Data[Revenue],Data[Region],region,Data[Month],PrevMonth,Data[Year],PMyear,Data[Product Name],'Data Prep'!T14)</f>
        <v>14316.419999999998</v>
      </c>
      <c r="W14" s="2">
        <f t="shared" si="1"/>
        <v>4718.8200000000033</v>
      </c>
      <c r="X14">
        <f t="shared" si="2"/>
        <v>1</v>
      </c>
      <c r="Y14">
        <f t="shared" si="3"/>
        <v>34</v>
      </c>
      <c r="AB14">
        <v>2</v>
      </c>
      <c r="AC14" t="str">
        <f t="shared" ref="AC14:AE17" si="6">INDEX($T$3:$W$36,MATCH($AB14,$Y$3:$Y$36,0),MATCH(AC$2,$T$2:$W$2,0))</f>
        <v>Colorbuds</v>
      </c>
      <c r="AD14" s="3">
        <f t="shared" si="6"/>
        <v>4272.1500000000005</v>
      </c>
      <c r="AE14" s="3">
        <f t="shared" si="6"/>
        <v>-2338.4399999999996</v>
      </c>
    </row>
    <row r="15" spans="1:31" x14ac:dyDescent="0.35">
      <c r="A15" s="8" t="s">
        <v>123</v>
      </c>
      <c r="B15" s="8" t="s">
        <v>49</v>
      </c>
      <c r="T15" s="6" t="s">
        <v>71</v>
      </c>
      <c r="U15" s="3">
        <f>SUMIFS(Data[Revenue],Data[Region],region,Data[Month],CurMonth,Data[Year],CurYear,Data[Product Name],'Data Prep'!T15)</f>
        <v>2507.4900000000002</v>
      </c>
      <c r="V15" s="3">
        <f>SUMIFS(Data[Revenue],Data[Region],region,Data[Month],PrevMonth,Data[Year],PMyear,Data[Product Name],'Data Prep'!T15)</f>
        <v>3756.2400000000002</v>
      </c>
      <c r="W15" s="2">
        <f t="shared" si="1"/>
        <v>-1248.75</v>
      </c>
      <c r="X15">
        <f t="shared" si="2"/>
        <v>30</v>
      </c>
      <c r="Y15">
        <f t="shared" si="3"/>
        <v>5</v>
      </c>
      <c r="AB15">
        <v>3</v>
      </c>
      <c r="AC15" t="str">
        <f t="shared" si="6"/>
        <v>Action Figure</v>
      </c>
      <c r="AD15" s="3">
        <f t="shared" si="6"/>
        <v>3965.52</v>
      </c>
      <c r="AE15" s="3">
        <f t="shared" si="6"/>
        <v>-2334.5399999999995</v>
      </c>
    </row>
    <row r="16" spans="1:31" x14ac:dyDescent="0.35">
      <c r="A16">
        <v>1</v>
      </c>
      <c r="B16" t="s">
        <v>124</v>
      </c>
      <c r="T16" s="6" t="s">
        <v>19</v>
      </c>
      <c r="U16" s="3">
        <f>SUMIFS(Data[Revenue],Data[Region],region,Data[Month],CurMonth,Data[Year],CurYear,Data[Product Name],'Data Prep'!T16)</f>
        <v>0</v>
      </c>
      <c r="V16" s="3">
        <f>SUMIFS(Data[Revenue],Data[Region],region,Data[Month],PrevMonth,Data[Year],PMyear,Data[Product Name],'Data Prep'!T16)</f>
        <v>159.91999999999999</v>
      </c>
      <c r="W16" s="2">
        <f t="shared" si="1"/>
        <v>-159.91999999999999</v>
      </c>
      <c r="X16">
        <f t="shared" si="2"/>
        <v>22</v>
      </c>
      <c r="Y16">
        <f t="shared" si="3"/>
        <v>13</v>
      </c>
      <c r="AB16">
        <v>4</v>
      </c>
      <c r="AC16" t="str">
        <f t="shared" si="6"/>
        <v>Toy Robot</v>
      </c>
      <c r="AD16" s="3">
        <f t="shared" si="6"/>
        <v>1039.5999999999999</v>
      </c>
      <c r="AE16" s="3">
        <f t="shared" si="6"/>
        <v>-1975.2400000000002</v>
      </c>
    </row>
    <row r="17" spans="1:31" x14ac:dyDescent="0.35">
      <c r="A17">
        <v>2</v>
      </c>
      <c r="B17" t="s">
        <v>125</v>
      </c>
      <c r="T17" s="6" t="s">
        <v>27</v>
      </c>
      <c r="U17" s="3">
        <f>SUMIFS(Data[Revenue],Data[Region],region,Data[Month],CurMonth,Data[Year],CurYear,Data[Product Name],'Data Prep'!T17)</f>
        <v>2496.65</v>
      </c>
      <c r="V17" s="3">
        <f>SUMIFS(Data[Revenue],Data[Region],region,Data[Month],PrevMonth,Data[Year],PMyear,Data[Product Name],'Data Prep'!T17)</f>
        <v>2439.84</v>
      </c>
      <c r="W17" s="2">
        <f t="shared" si="1"/>
        <v>56.809999999999945</v>
      </c>
      <c r="X17">
        <f t="shared" si="2"/>
        <v>16</v>
      </c>
      <c r="Y17">
        <f t="shared" si="3"/>
        <v>19</v>
      </c>
      <c r="AB17">
        <v>5</v>
      </c>
      <c r="AC17" t="str">
        <f t="shared" si="6"/>
        <v>Mini Ping Pong</v>
      </c>
      <c r="AD17" s="3">
        <f t="shared" si="6"/>
        <v>2507.4900000000002</v>
      </c>
      <c r="AE17" s="3">
        <f t="shared" si="6"/>
        <v>-1248.75</v>
      </c>
    </row>
    <row r="18" spans="1:31" x14ac:dyDescent="0.35">
      <c r="A18">
        <v>3</v>
      </c>
      <c r="B18" t="s">
        <v>126</v>
      </c>
      <c r="T18" s="6" t="s">
        <v>11</v>
      </c>
      <c r="U18" s="3">
        <f>SUMIFS(Data[Revenue],Data[Region],region,Data[Month],CurMonth,Data[Year],CurYear,Data[Product Name],'Data Prep'!T18)</f>
        <v>538.92000000000007</v>
      </c>
      <c r="V18" s="3">
        <f>SUMIFS(Data[Revenue],Data[Region],region,Data[Month],PrevMonth,Data[Year],PMyear,Data[Product Name],'Data Prep'!T18)</f>
        <v>479.03999999999996</v>
      </c>
      <c r="W18" s="2">
        <f t="shared" si="1"/>
        <v>59.880000000000109</v>
      </c>
      <c r="X18">
        <f t="shared" si="2"/>
        <v>15</v>
      </c>
      <c r="Y18">
        <f t="shared" si="3"/>
        <v>20</v>
      </c>
    </row>
    <row r="19" spans="1:31" x14ac:dyDescent="0.35">
      <c r="A19">
        <v>4</v>
      </c>
      <c r="B19" t="s">
        <v>96</v>
      </c>
      <c r="T19" s="6" t="s">
        <v>26</v>
      </c>
      <c r="U19" s="3">
        <f>SUMIFS(Data[Revenue],Data[Region],region,Data[Month],CurMonth,Data[Year],CurYear,Data[Product Name],'Data Prep'!T19)</f>
        <v>5597.2</v>
      </c>
      <c r="V19" s="3">
        <f>SUMIFS(Data[Revenue],Data[Region],region,Data[Month],PrevMonth,Data[Year],PMyear,Data[Product Name],'Data Prep'!T19)</f>
        <v>4637.6799999999994</v>
      </c>
      <c r="W19" s="2">
        <f t="shared" si="1"/>
        <v>959.52000000000044</v>
      </c>
      <c r="X19">
        <f t="shared" si="2"/>
        <v>8</v>
      </c>
      <c r="Y19">
        <f t="shared" si="3"/>
        <v>27</v>
      </c>
    </row>
    <row r="20" spans="1:31" x14ac:dyDescent="0.35">
      <c r="A20">
        <v>5</v>
      </c>
      <c r="B20" t="s">
        <v>98</v>
      </c>
      <c r="T20" s="6" t="s">
        <v>6</v>
      </c>
      <c r="U20" s="3">
        <f>SUMIFS(Data[Revenue],Data[Region],region,Data[Month],CurMonth,Data[Year],CurYear,Data[Product Name],'Data Prep'!T20)</f>
        <v>5061.3700000000008</v>
      </c>
      <c r="V20" s="3">
        <f>SUMIFS(Data[Revenue],Data[Region],region,Data[Month],PrevMonth,Data[Year],PMyear,Data[Product Name],'Data Prep'!T20)</f>
        <v>3856.7100000000005</v>
      </c>
      <c r="W20" s="2">
        <f t="shared" si="1"/>
        <v>1204.6600000000003</v>
      </c>
      <c r="X20">
        <f t="shared" si="2"/>
        <v>6</v>
      </c>
      <c r="Y20">
        <f t="shared" si="3"/>
        <v>29</v>
      </c>
    </row>
    <row r="21" spans="1:31" x14ac:dyDescent="0.35">
      <c r="A21">
        <v>6</v>
      </c>
      <c r="B21" t="s">
        <v>103</v>
      </c>
      <c r="T21" s="6" t="s">
        <v>16</v>
      </c>
      <c r="U21" s="3">
        <f>SUMIFS(Data[Revenue],Data[Region],region,Data[Month],CurMonth,Data[Year],CurYear,Data[Product Name],'Data Prep'!T21)</f>
        <v>597.54</v>
      </c>
      <c r="V21" s="3">
        <f>SUMIFS(Data[Revenue],Data[Region],region,Data[Month],PrevMonth,Data[Year],PMyear,Data[Product Name],'Data Prep'!T21)</f>
        <v>220.83</v>
      </c>
      <c r="W21" s="2">
        <f t="shared" si="1"/>
        <v>376.70999999999992</v>
      </c>
      <c r="X21">
        <f t="shared" si="2"/>
        <v>10</v>
      </c>
      <c r="Y21">
        <f t="shared" si="3"/>
        <v>25</v>
      </c>
    </row>
    <row r="22" spans="1:31" x14ac:dyDescent="0.35">
      <c r="A22">
        <v>7</v>
      </c>
      <c r="B22" t="s">
        <v>127</v>
      </c>
      <c r="T22" s="6" t="s">
        <v>23</v>
      </c>
      <c r="U22" s="3">
        <f>SUMIFS(Data[Revenue],Data[Region],region,Data[Month],CurMonth,Data[Year],CurYear,Data[Product Name],'Data Prep'!T22)</f>
        <v>1039.5999999999999</v>
      </c>
      <c r="V22" s="3">
        <f>SUMIFS(Data[Revenue],Data[Region],region,Data[Month],PrevMonth,Data[Year],PMyear,Data[Product Name],'Data Prep'!T22)</f>
        <v>3014.84</v>
      </c>
      <c r="W22" s="2">
        <f t="shared" si="1"/>
        <v>-1975.2400000000002</v>
      </c>
      <c r="X22">
        <f t="shared" si="2"/>
        <v>31</v>
      </c>
      <c r="Y22">
        <f t="shared" si="3"/>
        <v>4</v>
      </c>
    </row>
    <row r="23" spans="1:31" x14ac:dyDescent="0.35">
      <c r="A23">
        <v>8</v>
      </c>
      <c r="B23" t="s">
        <v>128</v>
      </c>
      <c r="T23" s="6" t="s">
        <v>10</v>
      </c>
      <c r="U23" s="3">
        <f>SUMIFS(Data[Revenue],Data[Region],region,Data[Month],CurMonth,Data[Year],CurYear,Data[Product Name],'Data Prep'!T23)</f>
        <v>5617.19</v>
      </c>
      <c r="V23" s="3">
        <f>SUMIFS(Data[Revenue],Data[Region],region,Data[Month],PrevMonth,Data[Year],PMyear,Data[Product Name],'Data Prep'!T23)</f>
        <v>3078.4599999999996</v>
      </c>
      <c r="W23" s="2">
        <f t="shared" si="1"/>
        <v>2538.73</v>
      </c>
      <c r="X23">
        <f t="shared" si="2"/>
        <v>3</v>
      </c>
      <c r="Y23">
        <f t="shared" si="3"/>
        <v>32</v>
      </c>
    </row>
    <row r="24" spans="1:31" x14ac:dyDescent="0.35">
      <c r="A24">
        <v>9</v>
      </c>
      <c r="B24" t="s">
        <v>129</v>
      </c>
      <c r="T24" s="6" t="s">
        <v>66</v>
      </c>
      <c r="U24" s="3">
        <f>SUMIFS(Data[Revenue],Data[Region],region,Data[Month],CurMonth,Data[Year],CurYear,Data[Product Name],'Data Prep'!T24)</f>
        <v>274.89</v>
      </c>
      <c r="V24" s="3">
        <f>SUMIFS(Data[Revenue],Data[Region],region,Data[Month],PrevMonth,Data[Year],PMyear,Data[Product Name],'Data Prep'!T24)</f>
        <v>149.94</v>
      </c>
      <c r="W24" s="2">
        <f t="shared" si="1"/>
        <v>124.94999999999999</v>
      </c>
      <c r="X24">
        <f t="shared" si="2"/>
        <v>14</v>
      </c>
      <c r="Y24">
        <f t="shared" si="3"/>
        <v>21</v>
      </c>
    </row>
    <row r="25" spans="1:31" x14ac:dyDescent="0.35">
      <c r="A25">
        <v>10</v>
      </c>
      <c r="B25" t="s">
        <v>130</v>
      </c>
      <c r="N25" t="s">
        <v>120</v>
      </c>
      <c r="T25" s="6" t="s">
        <v>29</v>
      </c>
      <c r="U25" s="3">
        <f>SUMIFS(Data[Revenue],Data[Region],region,Data[Month],CurMonth,Data[Year],CurYear,Data[Product Name],'Data Prep'!T25)</f>
        <v>135.83000000000001</v>
      </c>
      <c r="V25" s="3">
        <f>SUMIFS(Data[Revenue],Data[Region],region,Data[Month],PrevMonth,Data[Year],PMyear,Data[Product Name],'Data Prep'!T25)</f>
        <v>351.56000000000006</v>
      </c>
      <c r="W25" s="2">
        <f t="shared" si="1"/>
        <v>-215.73000000000005</v>
      </c>
      <c r="X25">
        <f t="shared" si="2"/>
        <v>24</v>
      </c>
      <c r="Y25">
        <f t="shared" si="3"/>
        <v>11</v>
      </c>
    </row>
    <row r="26" spans="1:31" x14ac:dyDescent="0.35">
      <c r="A26">
        <v>11</v>
      </c>
      <c r="B26" t="s">
        <v>131</v>
      </c>
      <c r="T26" s="6" t="s">
        <v>34</v>
      </c>
      <c r="U26" s="3">
        <f>SUMIFS(Data[Revenue],Data[Region],region,Data[Month],CurMonth,Data[Year],CurYear,Data[Product Name],'Data Prep'!T26)</f>
        <v>3475.29</v>
      </c>
      <c r="V26" s="3">
        <f>SUMIFS(Data[Revenue],Data[Region],region,Data[Month],PrevMonth,Data[Year],PMyear,Data[Product Name],'Data Prep'!T26)</f>
        <v>3910.2</v>
      </c>
      <c r="W26" s="2">
        <f t="shared" si="1"/>
        <v>-434.90999999999985</v>
      </c>
      <c r="X26">
        <f t="shared" si="2"/>
        <v>25</v>
      </c>
      <c r="Y26">
        <f t="shared" si="3"/>
        <v>10</v>
      </c>
    </row>
    <row r="27" spans="1:31" x14ac:dyDescent="0.35">
      <c r="A27">
        <v>12</v>
      </c>
      <c r="B27" t="s">
        <v>132</v>
      </c>
      <c r="T27" s="6" t="s">
        <v>70</v>
      </c>
      <c r="U27" s="3">
        <f>SUMIFS(Data[Revenue],Data[Region],region,Data[Month],CurMonth,Data[Year],CurYear,Data[Product Name],'Data Prep'!T27)</f>
        <v>1072.21</v>
      </c>
      <c r="V27" s="3">
        <f>SUMIFS(Data[Revenue],Data[Region],region,Data[Month],PrevMonth,Data[Year],PMyear,Data[Product Name],'Data Prep'!T27)</f>
        <v>730.78</v>
      </c>
      <c r="W27" s="2">
        <f t="shared" si="1"/>
        <v>341.43000000000006</v>
      </c>
      <c r="X27">
        <f t="shared" si="2"/>
        <v>11</v>
      </c>
      <c r="Y27">
        <f t="shared" si="3"/>
        <v>24</v>
      </c>
    </row>
    <row r="28" spans="1:31" x14ac:dyDescent="0.35">
      <c r="T28" s="6" t="s">
        <v>67</v>
      </c>
      <c r="U28" s="3">
        <f>SUMIFS(Data[Revenue],Data[Region],region,Data[Month],CurMonth,Data[Year],CurYear,Data[Product Name],'Data Prep'!T28)</f>
        <v>569.62</v>
      </c>
      <c r="V28" s="3">
        <f>SUMIFS(Data[Revenue],Data[Region],region,Data[Month],PrevMonth,Data[Year],PMyear,Data[Product Name],'Data Prep'!T28)</f>
        <v>689.54000000000008</v>
      </c>
      <c r="W28" s="2">
        <f t="shared" si="1"/>
        <v>-119.92000000000007</v>
      </c>
      <c r="X28">
        <f t="shared" si="2"/>
        <v>20</v>
      </c>
      <c r="Y28">
        <f t="shared" si="3"/>
        <v>15</v>
      </c>
    </row>
    <row r="29" spans="1:31" x14ac:dyDescent="0.35">
      <c r="T29" s="6" t="s">
        <v>37</v>
      </c>
      <c r="U29" s="3">
        <f>SUMIFS(Data[Revenue],Data[Region],region,Data[Month],CurMonth,Data[Year],CurYear,Data[Product Name],'Data Prep'!T29)</f>
        <v>399.84</v>
      </c>
      <c r="V29" s="3">
        <f>SUMIFS(Data[Revenue],Data[Region],region,Data[Month],PrevMonth,Data[Year],PMyear,Data[Product Name],'Data Prep'!T29)</f>
        <v>549.78</v>
      </c>
      <c r="W29" s="2">
        <f t="shared" si="1"/>
        <v>-149.94</v>
      </c>
      <c r="X29">
        <f t="shared" si="2"/>
        <v>21</v>
      </c>
      <c r="Y29">
        <f t="shared" si="3"/>
        <v>14</v>
      </c>
    </row>
    <row r="30" spans="1:31" x14ac:dyDescent="0.35">
      <c r="T30" s="6" t="s">
        <v>38</v>
      </c>
      <c r="U30" s="3">
        <f>SUMIFS(Data[Revenue],Data[Region],region,Data[Month],CurMonth,Data[Year],CurYear,Data[Product Name],'Data Prep'!T30)</f>
        <v>619.38</v>
      </c>
      <c r="V30" s="3">
        <f>SUMIFS(Data[Revenue],Data[Region],region,Data[Month],PrevMonth,Data[Year],PMyear,Data[Product Name],'Data Prep'!T30)</f>
        <v>729.27</v>
      </c>
      <c r="W30" s="2">
        <f t="shared" si="1"/>
        <v>-109.88999999999999</v>
      </c>
      <c r="X30">
        <f t="shared" si="2"/>
        <v>19</v>
      </c>
      <c r="Y30">
        <f t="shared" si="3"/>
        <v>16</v>
      </c>
    </row>
    <row r="31" spans="1:31" x14ac:dyDescent="0.35">
      <c r="T31" s="6" t="s">
        <v>39</v>
      </c>
      <c r="U31" s="3">
        <f>SUMIFS(Data[Revenue],Data[Region],region,Data[Month],CurMonth,Data[Year],CurYear,Data[Product Name],'Data Prep'!T31)</f>
        <v>1319.34</v>
      </c>
      <c r="V31" s="3">
        <f>SUMIFS(Data[Revenue],Data[Region],region,Data[Month],PrevMonth,Data[Year],PMyear,Data[Product Name],'Data Prep'!T31)</f>
        <v>1839.08</v>
      </c>
      <c r="W31" s="2">
        <f t="shared" si="1"/>
        <v>-519.74</v>
      </c>
      <c r="X31">
        <f t="shared" si="2"/>
        <v>26</v>
      </c>
      <c r="Y31">
        <f t="shared" si="3"/>
        <v>9</v>
      </c>
    </row>
    <row r="32" spans="1:31" x14ac:dyDescent="0.35">
      <c r="T32" s="6" t="s">
        <v>68</v>
      </c>
      <c r="U32" s="3">
        <f>SUMIFS(Data[Revenue],Data[Region],region,Data[Month],CurMonth,Data[Year],CurYear,Data[Product Name],'Data Prep'!T32)</f>
        <v>2140.9799999999996</v>
      </c>
      <c r="V32" s="3">
        <f>SUMIFS(Data[Revenue],Data[Region],region,Data[Month],PrevMonth,Data[Year],PMyear,Data[Product Name],'Data Prep'!T32)</f>
        <v>965.54</v>
      </c>
      <c r="W32" s="2">
        <f t="shared" si="1"/>
        <v>1175.4399999999996</v>
      </c>
      <c r="X32">
        <f t="shared" si="2"/>
        <v>7</v>
      </c>
      <c r="Y32">
        <f t="shared" si="3"/>
        <v>28</v>
      </c>
    </row>
    <row r="33" spans="20:25" x14ac:dyDescent="0.35">
      <c r="T33" s="6" t="s">
        <v>42</v>
      </c>
      <c r="U33" s="3">
        <f>SUMIFS(Data[Revenue],Data[Region],region,Data[Month],CurMonth,Data[Year],CurYear,Data[Product Name],'Data Prep'!T33)</f>
        <v>7243.47</v>
      </c>
      <c r="V33" s="3">
        <f>SUMIFS(Data[Revenue],Data[Region],region,Data[Month],PrevMonth,Data[Year],PMyear,Data[Product Name],'Data Prep'!T33)</f>
        <v>10521.42</v>
      </c>
      <c r="W33" s="2">
        <f t="shared" si="1"/>
        <v>-3277.95</v>
      </c>
      <c r="X33">
        <f t="shared" si="2"/>
        <v>34</v>
      </c>
      <c r="Y33">
        <f t="shared" si="3"/>
        <v>1</v>
      </c>
    </row>
    <row r="34" spans="20:25" x14ac:dyDescent="0.35">
      <c r="T34" s="6" t="s">
        <v>41</v>
      </c>
      <c r="U34" s="3">
        <f>SUMIFS(Data[Revenue],Data[Region],region,Data[Month],CurMonth,Data[Year],CurYear,Data[Product Name],'Data Prep'!T34)</f>
        <v>1188.81</v>
      </c>
      <c r="V34" s="3">
        <f>SUMIFS(Data[Revenue],Data[Region],region,Data[Month],PrevMonth,Data[Year],PMyear,Data[Product Name],'Data Prep'!T34)</f>
        <v>1398.6000000000001</v>
      </c>
      <c r="W34" s="2">
        <f t="shared" si="1"/>
        <v>-209.79000000000019</v>
      </c>
      <c r="X34">
        <f t="shared" si="2"/>
        <v>23</v>
      </c>
      <c r="Y34">
        <f t="shared" si="3"/>
        <v>12</v>
      </c>
    </row>
    <row r="35" spans="20:25" x14ac:dyDescent="0.35">
      <c r="T35" s="6" t="s">
        <v>43</v>
      </c>
      <c r="U35" s="3">
        <f>SUMIFS(Data[Revenue],Data[Region],region,Data[Month],CurMonth,Data[Year],CurYear,Data[Product Name],'Data Prep'!T35)</f>
        <v>4407.8999999999996</v>
      </c>
      <c r="V35" s="3">
        <f>SUMIFS(Data[Revenue],Data[Region],region,Data[Month],PrevMonth,Data[Year],PMyear,Data[Product Name],'Data Prep'!T35)</f>
        <v>1511.28</v>
      </c>
      <c r="W35" s="2">
        <f t="shared" si="1"/>
        <v>2896.62</v>
      </c>
      <c r="X35">
        <f t="shared" si="2"/>
        <v>2</v>
      </c>
      <c r="Y35">
        <f t="shared" si="3"/>
        <v>33</v>
      </c>
    </row>
    <row r="36" spans="20:25" x14ac:dyDescent="0.35">
      <c r="T36" s="6" t="s">
        <v>69</v>
      </c>
      <c r="U36" s="3">
        <f>SUMIFS(Data[Revenue],Data[Region],region,Data[Month],CurMonth,Data[Year],CurYear,Data[Product Name],'Data Prep'!T36)</f>
        <v>815.31999999999994</v>
      </c>
      <c r="V36" s="3">
        <f>SUMIFS(Data[Revenue],Data[Region],region,Data[Month],PrevMonth,Data[Year],PMyear,Data[Product Name],'Data Prep'!T36)</f>
        <v>1654.6200000000001</v>
      </c>
      <c r="W36" s="2">
        <f t="shared" si="1"/>
        <v>-839.30000000000018</v>
      </c>
      <c r="X36">
        <f t="shared" si="2"/>
        <v>29</v>
      </c>
      <c r="Y36">
        <f t="shared" si="3"/>
        <v>6</v>
      </c>
    </row>
  </sheetData>
  <sortState xmlns:xlrd2="http://schemas.microsoft.com/office/spreadsheetml/2017/richdata2" ref="L3:P12">
    <sortCondition ref="N3:N12"/>
  </sortState>
  <phoneticPr fontId="2" type="noConversion"/>
  <conditionalFormatting sqref="E5:E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FF1B-39E7-41AF-8E8F-469BE1D5C245}">
  <dimension ref="B1:O29"/>
  <sheetViews>
    <sheetView showGridLines="0" tabSelected="1" topLeftCell="A6" zoomScale="82" zoomScaleNormal="100" workbookViewId="0">
      <selection activeCell="C6" sqref="C6"/>
    </sheetView>
  </sheetViews>
  <sheetFormatPr defaultColWidth="0" defaultRowHeight="14.5" zeroHeight="1" x14ac:dyDescent="0.35"/>
  <cols>
    <col min="1" max="1" width="8.7265625" customWidth="1"/>
    <col min="2" max="2" width="13.453125" customWidth="1"/>
    <col min="3" max="3" width="20.453125" customWidth="1"/>
    <col min="4" max="4" width="6.90625" customWidth="1"/>
    <col min="5" max="5" width="18.90625" bestFit="1" customWidth="1"/>
    <col min="6" max="6" width="15.54296875" bestFit="1" customWidth="1"/>
    <col min="7" max="9" width="8.7265625" customWidth="1"/>
    <col min="10" max="10" width="3.08984375" customWidth="1"/>
    <col min="11" max="11" width="5.7265625" customWidth="1"/>
    <col min="12" max="12" width="3.81640625" customWidth="1"/>
    <col min="13" max="13" width="18.1796875" customWidth="1"/>
    <col min="14" max="14" width="15.08984375" customWidth="1"/>
    <col min="15" max="15" width="15.6328125" customWidth="1"/>
    <col min="16" max="16384" width="8.7265625" hidden="1"/>
  </cols>
  <sheetData>
    <row r="1" spans="2:15" x14ac:dyDescent="0.35"/>
    <row r="2" spans="2:15" x14ac:dyDescent="0.35"/>
    <row r="3" spans="2:15" x14ac:dyDescent="0.35"/>
    <row r="4" spans="2:15" x14ac:dyDescent="0.35"/>
    <row r="5" spans="2:15" x14ac:dyDescent="0.35"/>
    <row r="6" spans="2:15" ht="23.5" x14ac:dyDescent="0.55000000000000004">
      <c r="B6" s="17" t="s">
        <v>122</v>
      </c>
      <c r="C6" s="34" t="s">
        <v>48</v>
      </c>
      <c r="D6" s="17"/>
      <c r="E6" s="17" t="s">
        <v>134</v>
      </c>
      <c r="F6" s="33" t="str">
        <f>'Data Prep'!B13&amp;"?"</f>
        <v>July 2021?</v>
      </c>
    </row>
    <row r="7" spans="2:15" x14ac:dyDescent="0.35"/>
    <row r="8" spans="2:15" x14ac:dyDescent="0.35"/>
    <row r="9" spans="2:15" x14ac:dyDescent="0.35"/>
    <row r="10" spans="2:15" x14ac:dyDescent="0.35"/>
    <row r="11" spans="2:15" x14ac:dyDescent="0.35">
      <c r="M11" s="26" t="s">
        <v>118</v>
      </c>
      <c r="N11" s="27" t="s">
        <v>46</v>
      </c>
      <c r="O11" s="27" t="s">
        <v>121</v>
      </c>
    </row>
    <row r="12" spans="2:15" x14ac:dyDescent="0.35">
      <c r="M12" t="str">
        <f>'Data Prep'!AC3</f>
        <v>Lego Bricks</v>
      </c>
      <c r="N12" s="2">
        <f>'Data Prep'!AD3</f>
        <v>19035.240000000002</v>
      </c>
      <c r="O12" s="2">
        <f>'Data Prep'!AE3</f>
        <v>4718.8200000000033</v>
      </c>
    </row>
    <row r="13" spans="2:15" x14ac:dyDescent="0.35">
      <c r="M13" t="str">
        <f>'Data Prep'!AC4</f>
        <v>Etch A Sketch</v>
      </c>
      <c r="N13" s="2">
        <f>'Data Prep'!AD4</f>
        <v>4407.8999999999996</v>
      </c>
      <c r="O13" s="2">
        <f>'Data Prep'!AE4</f>
        <v>2896.62</v>
      </c>
    </row>
    <row r="14" spans="2:15" x14ac:dyDescent="0.35">
      <c r="M14" t="str">
        <f>'Data Prep'!AC5</f>
        <v>Nerf Gun</v>
      </c>
      <c r="N14" s="2">
        <f>'Data Prep'!AD5</f>
        <v>5617.19</v>
      </c>
      <c r="O14" s="2">
        <f>'Data Prep'!AE5</f>
        <v>2538.73</v>
      </c>
    </row>
    <row r="15" spans="2:15" x14ac:dyDescent="0.35">
      <c r="M15" t="str">
        <f>'Data Prep'!AC6</f>
        <v>Animal Figures</v>
      </c>
      <c r="N15" s="2">
        <f>'Data Prep'!AD6</f>
        <v>5066.1000000000004</v>
      </c>
      <c r="O15" s="2">
        <f>'Data Prep'!AE6</f>
        <v>1831.5900000000006</v>
      </c>
    </row>
    <row r="16" spans="2:15" x14ac:dyDescent="0.35">
      <c r="M16" t="str">
        <f>'Data Prep'!AC7</f>
        <v>Kids Makeup Kit</v>
      </c>
      <c r="N16" s="2">
        <f>'Data Prep'!AD7</f>
        <v>3098.45</v>
      </c>
      <c r="O16" s="2">
        <f>'Data Prep'!AE7</f>
        <v>1659.17</v>
      </c>
    </row>
    <row r="17" spans="13:15" x14ac:dyDescent="0.35">
      <c r="O17" s="32">
        <f>SUM(O12:O16)</f>
        <v>13644.930000000004</v>
      </c>
    </row>
    <row r="18" spans="13:15" x14ac:dyDescent="0.35"/>
    <row r="19" spans="13:15" x14ac:dyDescent="0.35"/>
    <row r="20" spans="13:15" x14ac:dyDescent="0.35">
      <c r="M20" s="28"/>
      <c r="N20" s="29"/>
      <c r="O20" s="29"/>
    </row>
    <row r="21" spans="13:15" x14ac:dyDescent="0.35">
      <c r="M21" s="26" t="s">
        <v>118</v>
      </c>
      <c r="N21" s="27" t="s">
        <v>46</v>
      </c>
      <c r="O21" s="27" t="s">
        <v>121</v>
      </c>
    </row>
    <row r="22" spans="13:15" x14ac:dyDescent="0.35">
      <c r="M22" t="str">
        <f>'Data Prep'!AC13</f>
        <v>Magic Sand</v>
      </c>
      <c r="N22">
        <f>'Data Prep'!AD13</f>
        <v>7243.47</v>
      </c>
      <c r="O22">
        <f>'Data Prep'!AE13</f>
        <v>-3277.95</v>
      </c>
    </row>
    <row r="23" spans="13:15" x14ac:dyDescent="0.35">
      <c r="M23" t="str">
        <f>'Data Prep'!AC14</f>
        <v>Colorbuds</v>
      </c>
      <c r="N23">
        <f>'Data Prep'!AD14</f>
        <v>4272.1500000000005</v>
      </c>
      <c r="O23">
        <f>'Data Prep'!AE14</f>
        <v>-2338.4399999999996</v>
      </c>
    </row>
    <row r="24" spans="13:15" x14ac:dyDescent="0.35">
      <c r="M24" t="str">
        <f>'Data Prep'!AC15</f>
        <v>Action Figure</v>
      </c>
      <c r="N24">
        <f>'Data Prep'!AD15</f>
        <v>3965.52</v>
      </c>
      <c r="O24">
        <f>'Data Prep'!AE15</f>
        <v>-2334.5399999999995</v>
      </c>
    </row>
    <row r="25" spans="13:15" x14ac:dyDescent="0.35">
      <c r="M25" t="str">
        <f>'Data Prep'!AC16</f>
        <v>Toy Robot</v>
      </c>
      <c r="N25">
        <f>'Data Prep'!AD16</f>
        <v>1039.5999999999999</v>
      </c>
      <c r="O25">
        <f>'Data Prep'!AE16</f>
        <v>-1975.2400000000002</v>
      </c>
    </row>
    <row r="26" spans="13:15" x14ac:dyDescent="0.35">
      <c r="M26" t="str">
        <f>'Data Prep'!AC17</f>
        <v>Mini Ping Pong</v>
      </c>
      <c r="N26">
        <f>'Data Prep'!AD17</f>
        <v>2507.4900000000002</v>
      </c>
      <c r="O26">
        <f>'Data Prep'!AE17</f>
        <v>-1248.75</v>
      </c>
    </row>
    <row r="27" spans="13:15" x14ac:dyDescent="0.35">
      <c r="O27" s="31">
        <f>SUM(O22:O26)</f>
        <v>-11174.919999999998</v>
      </c>
    </row>
    <row r="28" spans="13:15" x14ac:dyDescent="0.35"/>
    <row r="29" spans="13:15" x14ac:dyDescent="0.35"/>
  </sheetData>
  <sheetProtection sheet="1" objects="1" scenarios="1" selectLockedCells="1"/>
  <conditionalFormatting sqref="O12:O16">
    <cfRule type="colorScale" priority="3">
      <colorScale>
        <cfvo type="min"/>
        <cfvo type="max"/>
        <color theme="0"/>
        <color theme="9" tint="0.39997558519241921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2:O26">
    <cfRule type="colorScale" priority="1">
      <colorScale>
        <cfvo type="min"/>
        <cfvo type="max"/>
        <color rgb="FFC00000"/>
        <color theme="0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3C8A11-3095-41DC-9923-DA662A613614}">
          <x14:formula1>
            <xm:f>'Data Prep'!$A$3:$A$5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showGridLines="0" workbookViewId="0"/>
  </sheetViews>
  <sheetFormatPr defaultRowHeight="14.5" x14ac:dyDescent="0.35"/>
  <sheetData>
    <row r="1" spans="1:10" x14ac:dyDescent="0.35">
      <c r="A1">
        <v>2021</v>
      </c>
      <c r="B1">
        <v>8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7</v>
      </c>
      <c r="I1" s="2">
        <v>111.93</v>
      </c>
      <c r="J1" s="2">
        <v>42</v>
      </c>
    </row>
    <row r="2" spans="1:10" x14ac:dyDescent="0.35">
      <c r="A2">
        <v>2021</v>
      </c>
      <c r="B2">
        <v>8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71</v>
      </c>
      <c r="I2" s="2">
        <v>922.29</v>
      </c>
      <c r="J2" s="2">
        <v>213</v>
      </c>
    </row>
    <row r="3" spans="1:10" x14ac:dyDescent="0.35">
      <c r="A3">
        <v>2021</v>
      </c>
      <c r="B3">
        <v>8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47</v>
      </c>
      <c r="I3" s="2">
        <v>187.53</v>
      </c>
      <c r="J3" s="2">
        <v>94</v>
      </c>
    </row>
    <row r="4" spans="1:10" x14ac:dyDescent="0.35">
      <c r="A4">
        <v>2021</v>
      </c>
      <c r="B4">
        <v>8</v>
      </c>
      <c r="C4" t="s">
        <v>56</v>
      </c>
      <c r="D4" t="s">
        <v>4</v>
      </c>
      <c r="E4" t="s">
        <v>2</v>
      </c>
      <c r="F4" t="s">
        <v>20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35">
      <c r="A5">
        <v>2021</v>
      </c>
      <c r="B5">
        <v>8</v>
      </c>
      <c r="C5" t="s">
        <v>56</v>
      </c>
      <c r="D5" t="s">
        <v>4</v>
      </c>
      <c r="E5" t="s">
        <v>2</v>
      </c>
      <c r="F5" t="s">
        <v>25</v>
      </c>
      <c r="G5" t="s">
        <v>7</v>
      </c>
      <c r="H5">
        <v>13</v>
      </c>
      <c r="I5" s="2">
        <v>207.87</v>
      </c>
      <c r="J5" s="2">
        <v>52</v>
      </c>
    </row>
    <row r="6" spans="1:10" x14ac:dyDescent="0.35">
      <c r="A6">
        <v>2021</v>
      </c>
      <c r="B6">
        <v>8</v>
      </c>
      <c r="C6" t="s">
        <v>56</v>
      </c>
      <c r="D6" t="s">
        <v>4</v>
      </c>
      <c r="E6" t="s">
        <v>2</v>
      </c>
      <c r="F6" t="s">
        <v>8</v>
      </c>
      <c r="G6" t="s">
        <v>9</v>
      </c>
      <c r="H6">
        <v>131</v>
      </c>
      <c r="I6" s="2">
        <v>915.69</v>
      </c>
      <c r="J6" s="2">
        <v>393</v>
      </c>
    </row>
    <row r="7" spans="1:10" x14ac:dyDescent="0.35">
      <c r="A7">
        <v>2021</v>
      </c>
      <c r="B7">
        <v>8</v>
      </c>
      <c r="C7" t="s">
        <v>56</v>
      </c>
      <c r="D7" t="s">
        <v>4</v>
      </c>
      <c r="E7" t="s">
        <v>2</v>
      </c>
      <c r="F7" t="s">
        <v>17</v>
      </c>
      <c r="G7" t="s">
        <v>14</v>
      </c>
      <c r="H7">
        <v>30</v>
      </c>
      <c r="I7" s="2">
        <v>329.7</v>
      </c>
      <c r="J7" s="2">
        <v>30</v>
      </c>
    </row>
    <row r="8" spans="1:10" x14ac:dyDescent="0.35">
      <c r="A8">
        <v>2021</v>
      </c>
      <c r="B8">
        <v>8</v>
      </c>
      <c r="C8" t="s">
        <v>56</v>
      </c>
      <c r="D8" t="s">
        <v>4</v>
      </c>
      <c r="E8" t="s">
        <v>2</v>
      </c>
      <c r="F8" t="s">
        <v>28</v>
      </c>
      <c r="G8" t="s">
        <v>14</v>
      </c>
      <c r="H8">
        <v>8</v>
      </c>
      <c r="I8" s="2">
        <v>119.92</v>
      </c>
      <c r="J8" s="2">
        <v>32</v>
      </c>
    </row>
    <row r="9" spans="1:10" x14ac:dyDescent="0.35">
      <c r="A9">
        <v>2021</v>
      </c>
      <c r="B9">
        <v>8</v>
      </c>
      <c r="C9" t="s">
        <v>56</v>
      </c>
      <c r="D9" t="s">
        <v>4</v>
      </c>
      <c r="E9" t="s">
        <v>2</v>
      </c>
      <c r="F9" t="s">
        <v>43</v>
      </c>
      <c r="G9" t="s">
        <v>12</v>
      </c>
      <c r="H9">
        <v>18</v>
      </c>
      <c r="I9" s="2">
        <v>377.82</v>
      </c>
      <c r="J9" s="2">
        <v>179.99999999999997</v>
      </c>
    </row>
    <row r="10" spans="1:10" x14ac:dyDescent="0.35">
      <c r="A10">
        <v>2021</v>
      </c>
      <c r="B10">
        <v>8</v>
      </c>
      <c r="C10" t="s">
        <v>56</v>
      </c>
      <c r="D10" t="s">
        <v>4</v>
      </c>
      <c r="E10" t="s">
        <v>2</v>
      </c>
      <c r="F10" t="s">
        <v>44</v>
      </c>
      <c r="G10" t="s">
        <v>7</v>
      </c>
      <c r="H10">
        <v>6</v>
      </c>
      <c r="I10" s="2">
        <v>71.94</v>
      </c>
      <c r="J10" s="2">
        <v>18</v>
      </c>
    </row>
    <row r="11" spans="1:10" x14ac:dyDescent="0.35">
      <c r="A11">
        <v>2021</v>
      </c>
      <c r="B11">
        <v>8</v>
      </c>
      <c r="C11" t="s">
        <v>56</v>
      </c>
      <c r="D11" t="s">
        <v>4</v>
      </c>
      <c r="E11" t="s">
        <v>2</v>
      </c>
      <c r="F11" t="s">
        <v>40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35">
      <c r="A12">
        <v>2021</v>
      </c>
      <c r="B12">
        <v>8</v>
      </c>
      <c r="C12" t="s">
        <v>56</v>
      </c>
      <c r="D12" t="s">
        <v>4</v>
      </c>
      <c r="E12" t="s">
        <v>2</v>
      </c>
      <c r="F12" t="s">
        <v>38</v>
      </c>
      <c r="G12" t="s">
        <v>9</v>
      </c>
      <c r="H12">
        <v>5</v>
      </c>
      <c r="I12" s="2">
        <v>49.95</v>
      </c>
      <c r="J12" s="2">
        <v>35</v>
      </c>
    </row>
    <row r="13" spans="1:10" x14ac:dyDescent="0.35">
      <c r="A13">
        <v>2021</v>
      </c>
      <c r="B13">
        <v>8</v>
      </c>
      <c r="C13" t="s">
        <v>56</v>
      </c>
      <c r="D13" t="s">
        <v>4</v>
      </c>
      <c r="E13" t="s">
        <v>2</v>
      </c>
      <c r="F13" t="s">
        <v>31</v>
      </c>
      <c r="G13" t="s">
        <v>12</v>
      </c>
      <c r="H13">
        <v>8</v>
      </c>
      <c r="I13" s="2">
        <v>159.91999999999999</v>
      </c>
      <c r="J13" s="2">
        <v>47.999999999999986</v>
      </c>
    </row>
    <row r="14" spans="1:10" x14ac:dyDescent="0.35">
      <c r="A14">
        <v>2021</v>
      </c>
      <c r="B14">
        <v>8</v>
      </c>
      <c r="C14" t="s">
        <v>56</v>
      </c>
      <c r="D14" t="s">
        <v>4</v>
      </c>
      <c r="E14" t="s">
        <v>2</v>
      </c>
      <c r="F14" t="s">
        <v>15</v>
      </c>
      <c r="G14" t="s">
        <v>14</v>
      </c>
      <c r="H14">
        <v>22</v>
      </c>
      <c r="I14" s="2">
        <v>879.78000000000009</v>
      </c>
      <c r="J14" s="2">
        <v>110</v>
      </c>
    </row>
    <row r="15" spans="1:10" x14ac:dyDescent="0.35">
      <c r="A15">
        <v>2021</v>
      </c>
      <c r="B15">
        <v>8</v>
      </c>
      <c r="C15" t="s">
        <v>56</v>
      </c>
      <c r="D15" t="s">
        <v>4</v>
      </c>
      <c r="E15" t="s">
        <v>2</v>
      </c>
      <c r="F15" t="s">
        <v>42</v>
      </c>
      <c r="G15" t="s">
        <v>12</v>
      </c>
      <c r="H15">
        <v>93</v>
      </c>
      <c r="I15" s="2">
        <v>1487.07</v>
      </c>
      <c r="J15" s="2">
        <v>186</v>
      </c>
    </row>
    <row r="16" spans="1:10" x14ac:dyDescent="0.35">
      <c r="A16">
        <v>2021</v>
      </c>
      <c r="B16">
        <v>8</v>
      </c>
      <c r="C16" t="s">
        <v>56</v>
      </c>
      <c r="D16" t="s">
        <v>4</v>
      </c>
      <c r="E16" t="s">
        <v>2</v>
      </c>
      <c r="F16" t="s">
        <v>22</v>
      </c>
      <c r="G16" t="s">
        <v>7</v>
      </c>
      <c r="H16">
        <v>8</v>
      </c>
      <c r="I16" s="2">
        <v>79.92</v>
      </c>
      <c r="J16" s="2">
        <v>24</v>
      </c>
    </row>
    <row r="17" spans="1:10" x14ac:dyDescent="0.35">
      <c r="A17">
        <v>2021</v>
      </c>
      <c r="B17">
        <v>8</v>
      </c>
      <c r="C17" t="s">
        <v>56</v>
      </c>
      <c r="D17" t="s">
        <v>4</v>
      </c>
      <c r="E17" t="s">
        <v>2</v>
      </c>
      <c r="F17" t="s">
        <v>19</v>
      </c>
      <c r="G17" t="s">
        <v>9</v>
      </c>
      <c r="H17">
        <v>18</v>
      </c>
      <c r="I17" s="2">
        <v>359.82</v>
      </c>
      <c r="J17" s="2">
        <v>107.99999999999997</v>
      </c>
    </row>
    <row r="18" spans="1:10" x14ac:dyDescent="0.35">
      <c r="A18">
        <v>2021</v>
      </c>
      <c r="B18">
        <v>8</v>
      </c>
      <c r="C18" t="s">
        <v>56</v>
      </c>
      <c r="D18" t="s">
        <v>4</v>
      </c>
      <c r="E18" t="s">
        <v>2</v>
      </c>
      <c r="F18" t="s">
        <v>41</v>
      </c>
      <c r="G18" t="s">
        <v>14</v>
      </c>
      <c r="H18">
        <v>34</v>
      </c>
      <c r="I18" s="2">
        <v>339.66</v>
      </c>
      <c r="J18" s="2">
        <v>170</v>
      </c>
    </row>
    <row r="19" spans="1:10" x14ac:dyDescent="0.35">
      <c r="A19">
        <v>2021</v>
      </c>
      <c r="B19">
        <v>8</v>
      </c>
      <c r="C19" t="s">
        <v>56</v>
      </c>
      <c r="D19" t="s">
        <v>4</v>
      </c>
      <c r="E19" t="s">
        <v>2</v>
      </c>
      <c r="F19" t="s">
        <v>10</v>
      </c>
      <c r="G19" t="s">
        <v>7</v>
      </c>
      <c r="H19">
        <v>40</v>
      </c>
      <c r="I19" s="2">
        <v>799.59999999999991</v>
      </c>
      <c r="J19" s="2">
        <v>199.99999999999994</v>
      </c>
    </row>
    <row r="20" spans="1:10" x14ac:dyDescent="0.35">
      <c r="A20">
        <v>2021</v>
      </c>
      <c r="B20">
        <v>8</v>
      </c>
      <c r="C20" t="s">
        <v>56</v>
      </c>
      <c r="D20" t="s">
        <v>4</v>
      </c>
      <c r="E20" t="s">
        <v>2</v>
      </c>
      <c r="F20" t="s">
        <v>27</v>
      </c>
      <c r="G20" t="s">
        <v>12</v>
      </c>
      <c r="H20">
        <v>163</v>
      </c>
      <c r="I20" s="2">
        <v>487.37000000000006</v>
      </c>
      <c r="J20" s="2">
        <v>163.00000000000003</v>
      </c>
    </row>
    <row r="21" spans="1:10" x14ac:dyDescent="0.35">
      <c r="A21">
        <v>2021</v>
      </c>
      <c r="B21">
        <v>8</v>
      </c>
      <c r="C21" t="s">
        <v>56</v>
      </c>
      <c r="D21" t="s">
        <v>4</v>
      </c>
      <c r="E21" t="s">
        <v>2</v>
      </c>
      <c r="F21" t="s">
        <v>45</v>
      </c>
      <c r="G21" t="s">
        <v>12</v>
      </c>
      <c r="H21">
        <v>4</v>
      </c>
      <c r="I21" s="2">
        <v>43.96</v>
      </c>
      <c r="J21" s="2">
        <v>28</v>
      </c>
    </row>
    <row r="22" spans="1:10" x14ac:dyDescent="0.35">
      <c r="A22">
        <v>2021</v>
      </c>
      <c r="B22">
        <v>8</v>
      </c>
      <c r="C22" t="s">
        <v>56</v>
      </c>
      <c r="D22" t="s">
        <v>4</v>
      </c>
      <c r="E22" t="s">
        <v>2</v>
      </c>
      <c r="F22" t="s">
        <v>39</v>
      </c>
      <c r="G22" t="s">
        <v>14</v>
      </c>
      <c r="H22">
        <v>17</v>
      </c>
      <c r="I22" s="2">
        <v>339.83</v>
      </c>
      <c r="J22" s="2">
        <v>186.99999999999997</v>
      </c>
    </row>
    <row r="23" spans="1:10" x14ac:dyDescent="0.35">
      <c r="A23">
        <v>2021</v>
      </c>
      <c r="B23">
        <v>8</v>
      </c>
      <c r="C23" t="s">
        <v>56</v>
      </c>
      <c r="D23" t="s">
        <v>4</v>
      </c>
      <c r="E23" t="s">
        <v>2</v>
      </c>
      <c r="F23" t="s">
        <v>26</v>
      </c>
      <c r="G23" t="s">
        <v>9</v>
      </c>
      <c r="H23">
        <v>29</v>
      </c>
      <c r="I23" s="2">
        <v>579.70999999999992</v>
      </c>
      <c r="J23" s="2">
        <v>58</v>
      </c>
    </row>
    <row r="24" spans="1:10" x14ac:dyDescent="0.35">
      <c r="A24">
        <v>2021</v>
      </c>
      <c r="B24">
        <v>8</v>
      </c>
      <c r="C24" t="s">
        <v>56</v>
      </c>
      <c r="D24" t="s">
        <v>4</v>
      </c>
      <c r="E24" t="s">
        <v>2</v>
      </c>
      <c r="F24" t="s">
        <v>6</v>
      </c>
      <c r="G24" t="s">
        <v>7</v>
      </c>
      <c r="H24">
        <v>16</v>
      </c>
      <c r="I24" s="2">
        <v>143.84</v>
      </c>
      <c r="J24" s="2">
        <v>16</v>
      </c>
    </row>
    <row r="25" spans="1:10" x14ac:dyDescent="0.35">
      <c r="A25">
        <v>2021</v>
      </c>
      <c r="B25">
        <v>8</v>
      </c>
      <c r="C25" t="s">
        <v>56</v>
      </c>
      <c r="D25" t="s">
        <v>4</v>
      </c>
      <c r="E25" t="s">
        <v>2</v>
      </c>
      <c r="F25" t="s">
        <v>36</v>
      </c>
      <c r="G25" t="s">
        <v>7</v>
      </c>
      <c r="H25">
        <v>36</v>
      </c>
      <c r="I25" s="2">
        <v>539.64</v>
      </c>
      <c r="J25" s="2">
        <v>108</v>
      </c>
    </row>
    <row r="26" spans="1:10" x14ac:dyDescent="0.35">
      <c r="A26">
        <v>2021</v>
      </c>
      <c r="B26">
        <v>8</v>
      </c>
      <c r="C26" t="s">
        <v>56</v>
      </c>
      <c r="D26" t="s">
        <v>4</v>
      </c>
      <c r="E26" t="s">
        <v>2</v>
      </c>
      <c r="F26" t="s">
        <v>16</v>
      </c>
      <c r="G26" t="s">
        <v>14</v>
      </c>
      <c r="H26">
        <v>6</v>
      </c>
      <c r="I26" s="2">
        <v>77.94</v>
      </c>
      <c r="J26" s="2">
        <v>12</v>
      </c>
    </row>
    <row r="27" spans="1:10" x14ac:dyDescent="0.35">
      <c r="A27">
        <v>2021</v>
      </c>
      <c r="B27">
        <v>8</v>
      </c>
      <c r="C27" t="s">
        <v>59</v>
      </c>
      <c r="D27" t="s">
        <v>4</v>
      </c>
      <c r="E27" t="s">
        <v>1</v>
      </c>
      <c r="F27" t="s">
        <v>13</v>
      </c>
      <c r="G27" t="s">
        <v>14</v>
      </c>
      <c r="H27">
        <v>10</v>
      </c>
      <c r="I27" s="2">
        <v>159.9</v>
      </c>
      <c r="J27" s="2">
        <v>60</v>
      </c>
    </row>
    <row r="28" spans="1:10" x14ac:dyDescent="0.35">
      <c r="A28">
        <v>2021</v>
      </c>
      <c r="B28">
        <v>8</v>
      </c>
      <c r="C28" t="s">
        <v>59</v>
      </c>
      <c r="D28" t="s">
        <v>4</v>
      </c>
      <c r="E28" t="s">
        <v>1</v>
      </c>
      <c r="F28" t="s">
        <v>24</v>
      </c>
      <c r="G28" t="s">
        <v>14</v>
      </c>
      <c r="H28">
        <v>86</v>
      </c>
      <c r="I28" s="2">
        <v>1117.1400000000001</v>
      </c>
      <c r="J28" s="2">
        <v>258</v>
      </c>
    </row>
    <row r="29" spans="1:10" x14ac:dyDescent="0.35">
      <c r="A29">
        <v>2021</v>
      </c>
      <c r="B29">
        <v>8</v>
      </c>
      <c r="C29" t="s">
        <v>59</v>
      </c>
      <c r="D29" t="s">
        <v>4</v>
      </c>
      <c r="E29" t="s">
        <v>1</v>
      </c>
      <c r="F29" t="s">
        <v>34</v>
      </c>
      <c r="G29" t="s">
        <v>12</v>
      </c>
      <c r="H29">
        <v>116</v>
      </c>
      <c r="I29" s="2">
        <v>462.84000000000003</v>
      </c>
      <c r="J29" s="2">
        <v>232</v>
      </c>
    </row>
    <row r="30" spans="1:10" x14ac:dyDescent="0.35">
      <c r="A30">
        <v>2021</v>
      </c>
      <c r="B30">
        <v>8</v>
      </c>
      <c r="C30" t="s">
        <v>59</v>
      </c>
      <c r="D30" t="s">
        <v>4</v>
      </c>
      <c r="E30" t="s">
        <v>1</v>
      </c>
      <c r="F30" t="s">
        <v>20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35">
      <c r="A31">
        <v>2021</v>
      </c>
      <c r="B31">
        <v>8</v>
      </c>
      <c r="C31" t="s">
        <v>59</v>
      </c>
      <c r="D31" t="s">
        <v>4</v>
      </c>
      <c r="E31" t="s">
        <v>1</v>
      </c>
      <c r="F31" t="s">
        <v>25</v>
      </c>
      <c r="G31" t="s">
        <v>7</v>
      </c>
      <c r="H31">
        <v>12</v>
      </c>
      <c r="I31" s="2">
        <v>191.88</v>
      </c>
      <c r="J31" s="2">
        <v>48</v>
      </c>
    </row>
    <row r="32" spans="1:10" x14ac:dyDescent="0.35">
      <c r="A32">
        <v>2021</v>
      </c>
      <c r="B32">
        <v>8</v>
      </c>
      <c r="C32" t="s">
        <v>59</v>
      </c>
      <c r="D32" t="s">
        <v>4</v>
      </c>
      <c r="E32" t="s">
        <v>1</v>
      </c>
      <c r="F32" t="s">
        <v>8</v>
      </c>
      <c r="G32" t="s">
        <v>9</v>
      </c>
      <c r="H32">
        <v>38</v>
      </c>
      <c r="I32" s="2">
        <v>265.62</v>
      </c>
      <c r="J32" s="2">
        <v>114</v>
      </c>
    </row>
    <row r="33" spans="1:10" x14ac:dyDescent="0.35">
      <c r="A33">
        <v>2021</v>
      </c>
      <c r="B33">
        <v>8</v>
      </c>
      <c r="C33" t="s">
        <v>59</v>
      </c>
      <c r="D33" t="s">
        <v>4</v>
      </c>
      <c r="E33" t="s">
        <v>1</v>
      </c>
      <c r="F33" t="s">
        <v>17</v>
      </c>
      <c r="G33" t="s">
        <v>14</v>
      </c>
      <c r="H33">
        <v>71</v>
      </c>
      <c r="I33" s="2">
        <v>780.29</v>
      </c>
      <c r="J33" s="2">
        <v>71</v>
      </c>
    </row>
    <row r="34" spans="1:10" x14ac:dyDescent="0.35">
      <c r="A34">
        <v>2021</v>
      </c>
      <c r="B34">
        <v>8</v>
      </c>
      <c r="C34" t="s">
        <v>59</v>
      </c>
      <c r="D34" t="s">
        <v>4</v>
      </c>
      <c r="E34" t="s">
        <v>1</v>
      </c>
      <c r="F34" t="s">
        <v>28</v>
      </c>
      <c r="G34" t="s">
        <v>14</v>
      </c>
      <c r="H34">
        <v>5</v>
      </c>
      <c r="I34" s="2">
        <v>74.95</v>
      </c>
      <c r="J34" s="2">
        <v>20</v>
      </c>
    </row>
    <row r="35" spans="1:10" x14ac:dyDescent="0.35">
      <c r="A35">
        <v>2021</v>
      </c>
      <c r="B35">
        <v>8</v>
      </c>
      <c r="C35" t="s">
        <v>59</v>
      </c>
      <c r="D35" t="s">
        <v>4</v>
      </c>
      <c r="E35" t="s">
        <v>1</v>
      </c>
      <c r="F35" t="s">
        <v>43</v>
      </c>
      <c r="G35" t="s">
        <v>12</v>
      </c>
      <c r="H35">
        <v>7</v>
      </c>
      <c r="I35" s="2">
        <v>146.92999999999998</v>
      </c>
      <c r="J35" s="2">
        <v>69.999999999999986</v>
      </c>
    </row>
    <row r="36" spans="1:10" x14ac:dyDescent="0.35">
      <c r="A36">
        <v>2021</v>
      </c>
      <c r="B36">
        <v>8</v>
      </c>
      <c r="C36" t="s">
        <v>59</v>
      </c>
      <c r="D36" t="s">
        <v>4</v>
      </c>
      <c r="E36" t="s">
        <v>1</v>
      </c>
      <c r="F36" t="s">
        <v>44</v>
      </c>
      <c r="G36" t="s">
        <v>7</v>
      </c>
      <c r="H36">
        <v>7</v>
      </c>
      <c r="I36" s="2">
        <v>83.93</v>
      </c>
      <c r="J36" s="2">
        <v>21</v>
      </c>
    </row>
    <row r="37" spans="1:10" x14ac:dyDescent="0.35">
      <c r="A37">
        <v>2021</v>
      </c>
      <c r="B37">
        <v>8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35">
      <c r="A38">
        <v>2021</v>
      </c>
      <c r="B38">
        <v>8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36</v>
      </c>
      <c r="I38" s="2">
        <v>395.64</v>
      </c>
      <c r="J38" s="2">
        <v>180</v>
      </c>
    </row>
    <row r="39" spans="1:10" x14ac:dyDescent="0.35">
      <c r="A39">
        <v>2021</v>
      </c>
      <c r="B39">
        <v>8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15</v>
      </c>
      <c r="I39" s="2">
        <v>89.850000000000009</v>
      </c>
      <c r="J39" s="2">
        <v>30</v>
      </c>
    </row>
    <row r="40" spans="1:10" x14ac:dyDescent="0.35">
      <c r="A40">
        <v>2021</v>
      </c>
      <c r="B40">
        <v>8</v>
      </c>
      <c r="C40" t="s">
        <v>59</v>
      </c>
      <c r="D40" t="s">
        <v>4</v>
      </c>
      <c r="E40" t="s">
        <v>1</v>
      </c>
      <c r="F40" t="s">
        <v>38</v>
      </c>
      <c r="G40" t="s">
        <v>9</v>
      </c>
      <c r="H40">
        <v>13</v>
      </c>
      <c r="I40" s="2">
        <v>129.87</v>
      </c>
      <c r="J40" s="2">
        <v>91</v>
      </c>
    </row>
    <row r="41" spans="1:10" x14ac:dyDescent="0.35">
      <c r="A41">
        <v>2021</v>
      </c>
      <c r="B41">
        <v>8</v>
      </c>
      <c r="C41" t="s">
        <v>59</v>
      </c>
      <c r="D41" t="s">
        <v>4</v>
      </c>
      <c r="E41" t="s">
        <v>1</v>
      </c>
      <c r="F41" t="s">
        <v>31</v>
      </c>
      <c r="G41" t="s">
        <v>12</v>
      </c>
      <c r="H41">
        <v>14</v>
      </c>
      <c r="I41" s="2">
        <v>279.85999999999996</v>
      </c>
      <c r="J41" s="2">
        <v>83.999999999999972</v>
      </c>
    </row>
    <row r="42" spans="1:10" x14ac:dyDescent="0.35">
      <c r="A42">
        <v>2021</v>
      </c>
      <c r="B42">
        <v>8</v>
      </c>
      <c r="C42" t="s">
        <v>59</v>
      </c>
      <c r="D42" t="s">
        <v>4</v>
      </c>
      <c r="E42" t="s">
        <v>1</v>
      </c>
      <c r="F42" t="s">
        <v>42</v>
      </c>
      <c r="G42" t="s">
        <v>12</v>
      </c>
      <c r="H42">
        <v>14</v>
      </c>
      <c r="I42" s="2">
        <v>223.86</v>
      </c>
      <c r="J42" s="2">
        <v>28</v>
      </c>
    </row>
    <row r="43" spans="1:10" x14ac:dyDescent="0.35">
      <c r="A43">
        <v>2021</v>
      </c>
      <c r="B43">
        <v>8</v>
      </c>
      <c r="C43" t="s">
        <v>59</v>
      </c>
      <c r="D43" t="s">
        <v>4</v>
      </c>
      <c r="E43" t="s">
        <v>1</v>
      </c>
      <c r="F43" t="s">
        <v>22</v>
      </c>
      <c r="G43" t="s">
        <v>7</v>
      </c>
      <c r="H43">
        <v>15</v>
      </c>
      <c r="I43" s="2">
        <v>149.85</v>
      </c>
      <c r="J43" s="2">
        <v>45</v>
      </c>
    </row>
    <row r="44" spans="1:10" x14ac:dyDescent="0.35">
      <c r="A44">
        <v>2021</v>
      </c>
      <c r="B44">
        <v>8</v>
      </c>
      <c r="C44" t="s">
        <v>59</v>
      </c>
      <c r="D44" t="s">
        <v>4</v>
      </c>
      <c r="E44" t="s">
        <v>1</v>
      </c>
      <c r="F44" t="s">
        <v>41</v>
      </c>
      <c r="G44" t="s">
        <v>14</v>
      </c>
      <c r="H44">
        <v>3</v>
      </c>
      <c r="I44" s="2">
        <v>29.97</v>
      </c>
      <c r="J44" s="2">
        <v>15</v>
      </c>
    </row>
    <row r="45" spans="1:10" x14ac:dyDescent="0.35">
      <c r="A45">
        <v>2021</v>
      </c>
      <c r="B45">
        <v>8</v>
      </c>
      <c r="C45" t="s">
        <v>59</v>
      </c>
      <c r="D45" t="s">
        <v>4</v>
      </c>
      <c r="E45" t="s">
        <v>1</v>
      </c>
      <c r="F45" t="s">
        <v>10</v>
      </c>
      <c r="G45" t="s">
        <v>7</v>
      </c>
      <c r="H45">
        <v>28</v>
      </c>
      <c r="I45" s="2">
        <v>559.71999999999991</v>
      </c>
      <c r="J45" s="2">
        <v>139.99999999999994</v>
      </c>
    </row>
    <row r="46" spans="1:10" x14ac:dyDescent="0.35">
      <c r="A46">
        <v>2021</v>
      </c>
      <c r="B46">
        <v>8</v>
      </c>
      <c r="C46" t="s">
        <v>59</v>
      </c>
      <c r="D46" t="s">
        <v>4</v>
      </c>
      <c r="E46" t="s">
        <v>1</v>
      </c>
      <c r="F46" t="s">
        <v>27</v>
      </c>
      <c r="G46" t="s">
        <v>12</v>
      </c>
      <c r="H46">
        <v>87</v>
      </c>
      <c r="I46" s="2">
        <v>260.13</v>
      </c>
      <c r="J46" s="2">
        <v>87.000000000000014</v>
      </c>
    </row>
    <row r="47" spans="1:10" x14ac:dyDescent="0.35">
      <c r="A47">
        <v>2021</v>
      </c>
      <c r="B47">
        <v>8</v>
      </c>
      <c r="C47" t="s">
        <v>59</v>
      </c>
      <c r="D47" t="s">
        <v>4</v>
      </c>
      <c r="E47" t="s">
        <v>1</v>
      </c>
      <c r="F47" t="s">
        <v>37</v>
      </c>
      <c r="G47" t="s">
        <v>12</v>
      </c>
      <c r="H47">
        <v>11</v>
      </c>
      <c r="I47" s="2">
        <v>274.89</v>
      </c>
      <c r="J47" s="2">
        <v>44</v>
      </c>
    </row>
    <row r="48" spans="1:10" x14ac:dyDescent="0.35">
      <c r="A48">
        <v>2021</v>
      </c>
      <c r="B48">
        <v>8</v>
      </c>
      <c r="C48" t="s">
        <v>59</v>
      </c>
      <c r="D48" t="s">
        <v>4</v>
      </c>
      <c r="E48" t="s">
        <v>1</v>
      </c>
      <c r="F48" t="s">
        <v>11</v>
      </c>
      <c r="G48" t="s">
        <v>12</v>
      </c>
      <c r="H48">
        <v>5</v>
      </c>
      <c r="I48" s="2">
        <v>24.950000000000003</v>
      </c>
      <c r="J48" s="2">
        <v>5</v>
      </c>
    </row>
    <row r="49" spans="1:10" x14ac:dyDescent="0.35">
      <c r="A49">
        <v>2021</v>
      </c>
      <c r="B49">
        <v>8</v>
      </c>
      <c r="C49" t="s">
        <v>59</v>
      </c>
      <c r="D49" t="s">
        <v>4</v>
      </c>
      <c r="E49" t="s">
        <v>1</v>
      </c>
      <c r="F49" t="s">
        <v>45</v>
      </c>
      <c r="G49" t="s">
        <v>12</v>
      </c>
      <c r="H49">
        <v>13</v>
      </c>
      <c r="I49" s="2">
        <v>142.87</v>
      </c>
      <c r="J49" s="2">
        <v>91</v>
      </c>
    </row>
    <row r="50" spans="1:10" x14ac:dyDescent="0.35">
      <c r="A50">
        <v>2021</v>
      </c>
      <c r="B50">
        <v>8</v>
      </c>
      <c r="C50" t="s">
        <v>59</v>
      </c>
      <c r="D50" t="s">
        <v>4</v>
      </c>
      <c r="E50" t="s">
        <v>1</v>
      </c>
      <c r="F50" t="s">
        <v>39</v>
      </c>
      <c r="G50" t="s">
        <v>14</v>
      </c>
      <c r="H50">
        <v>15</v>
      </c>
      <c r="I50" s="2">
        <v>299.84999999999997</v>
      </c>
      <c r="J50" s="2">
        <v>164.99999999999997</v>
      </c>
    </row>
    <row r="51" spans="1:10" x14ac:dyDescent="0.35">
      <c r="A51">
        <v>2021</v>
      </c>
      <c r="B51">
        <v>8</v>
      </c>
      <c r="C51" t="s">
        <v>59</v>
      </c>
      <c r="D51" t="s">
        <v>4</v>
      </c>
      <c r="E51" t="s">
        <v>1</v>
      </c>
      <c r="F51" t="s">
        <v>26</v>
      </c>
      <c r="G51" t="s">
        <v>9</v>
      </c>
      <c r="H51">
        <v>38</v>
      </c>
      <c r="I51" s="2">
        <v>759.61999999999989</v>
      </c>
      <c r="J51" s="2">
        <v>76</v>
      </c>
    </row>
    <row r="52" spans="1:10" x14ac:dyDescent="0.35">
      <c r="A52">
        <v>2021</v>
      </c>
      <c r="B52">
        <v>8</v>
      </c>
      <c r="C52" t="s">
        <v>62</v>
      </c>
      <c r="D52" t="s">
        <v>5</v>
      </c>
      <c r="E52" t="s">
        <v>0</v>
      </c>
      <c r="F52" t="s">
        <v>13</v>
      </c>
      <c r="G52" t="s">
        <v>14</v>
      </c>
      <c r="H52">
        <v>54</v>
      </c>
      <c r="I52" s="2">
        <v>863.46</v>
      </c>
      <c r="J52" s="2">
        <v>324</v>
      </c>
    </row>
    <row r="53" spans="1:10" x14ac:dyDescent="0.35">
      <c r="A53">
        <v>2021</v>
      </c>
      <c r="B53">
        <v>8</v>
      </c>
      <c r="C53" t="s">
        <v>62</v>
      </c>
      <c r="D53" t="s">
        <v>5</v>
      </c>
      <c r="E53" t="s">
        <v>0</v>
      </c>
      <c r="F53" t="s">
        <v>24</v>
      </c>
      <c r="G53" t="s">
        <v>14</v>
      </c>
      <c r="H53">
        <v>89</v>
      </c>
      <c r="I53" s="2">
        <v>1156.1100000000001</v>
      </c>
      <c r="J53" s="2">
        <v>267</v>
      </c>
    </row>
    <row r="54" spans="1:10" x14ac:dyDescent="0.35">
      <c r="A54">
        <v>2021</v>
      </c>
      <c r="B54">
        <v>8</v>
      </c>
      <c r="C54" t="s">
        <v>62</v>
      </c>
      <c r="D54" t="s">
        <v>5</v>
      </c>
      <c r="E54" t="s">
        <v>0</v>
      </c>
      <c r="F54" t="s">
        <v>34</v>
      </c>
      <c r="G54" t="s">
        <v>12</v>
      </c>
      <c r="H54">
        <v>99</v>
      </c>
      <c r="I54" s="2">
        <v>395.01000000000005</v>
      </c>
      <c r="J54" s="2">
        <v>198</v>
      </c>
    </row>
    <row r="55" spans="1:10" x14ac:dyDescent="0.35">
      <c r="A55">
        <v>2021</v>
      </c>
      <c r="B55">
        <v>8</v>
      </c>
      <c r="C55" t="s">
        <v>62</v>
      </c>
      <c r="D55" t="s">
        <v>5</v>
      </c>
      <c r="E55" t="s">
        <v>0</v>
      </c>
      <c r="F55" t="s">
        <v>18</v>
      </c>
      <c r="G55" t="s">
        <v>9</v>
      </c>
      <c r="H55">
        <v>30</v>
      </c>
      <c r="I55" s="2">
        <v>389.7</v>
      </c>
      <c r="J55" s="2">
        <v>90</v>
      </c>
    </row>
    <row r="56" spans="1:10" x14ac:dyDescent="0.35">
      <c r="A56">
        <v>2021</v>
      </c>
      <c r="B56">
        <v>8</v>
      </c>
      <c r="C56" t="s">
        <v>62</v>
      </c>
      <c r="D56" t="s">
        <v>5</v>
      </c>
      <c r="E56" t="s">
        <v>0</v>
      </c>
      <c r="F56" t="s">
        <v>20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35">
      <c r="A57">
        <v>2021</v>
      </c>
      <c r="B57">
        <v>8</v>
      </c>
      <c r="C57" t="s">
        <v>62</v>
      </c>
      <c r="D57" t="s">
        <v>5</v>
      </c>
      <c r="E57" t="s">
        <v>0</v>
      </c>
      <c r="F57" t="s">
        <v>25</v>
      </c>
      <c r="G57" t="s">
        <v>7</v>
      </c>
      <c r="H57">
        <v>36</v>
      </c>
      <c r="I57" s="2">
        <v>575.64</v>
      </c>
      <c r="J57" s="2">
        <v>144</v>
      </c>
    </row>
    <row r="58" spans="1:10" x14ac:dyDescent="0.35">
      <c r="A58">
        <v>2021</v>
      </c>
      <c r="B58">
        <v>8</v>
      </c>
      <c r="C58" t="s">
        <v>62</v>
      </c>
      <c r="D58" t="s">
        <v>5</v>
      </c>
      <c r="E58" t="s">
        <v>0</v>
      </c>
      <c r="F58" t="s">
        <v>8</v>
      </c>
      <c r="G58" t="s">
        <v>9</v>
      </c>
      <c r="H58">
        <v>48</v>
      </c>
      <c r="I58" s="2">
        <v>335.52</v>
      </c>
      <c r="J58" s="2">
        <v>144</v>
      </c>
    </row>
    <row r="59" spans="1:10" x14ac:dyDescent="0.35">
      <c r="A59">
        <v>2021</v>
      </c>
      <c r="B59">
        <v>8</v>
      </c>
      <c r="C59" t="s">
        <v>62</v>
      </c>
      <c r="D59" t="s">
        <v>5</v>
      </c>
      <c r="E59" t="s">
        <v>0</v>
      </c>
      <c r="F59" t="s">
        <v>17</v>
      </c>
      <c r="G59" t="s">
        <v>14</v>
      </c>
      <c r="H59">
        <v>20</v>
      </c>
      <c r="I59" s="2">
        <v>219.8</v>
      </c>
      <c r="J59" s="2">
        <v>20</v>
      </c>
    </row>
    <row r="60" spans="1:10" x14ac:dyDescent="0.35">
      <c r="A60">
        <v>2021</v>
      </c>
      <c r="B60">
        <v>8</v>
      </c>
      <c r="C60" t="s">
        <v>62</v>
      </c>
      <c r="D60" t="s">
        <v>5</v>
      </c>
      <c r="E60" t="s">
        <v>0</v>
      </c>
      <c r="F60" t="s">
        <v>28</v>
      </c>
      <c r="G60" t="s">
        <v>14</v>
      </c>
      <c r="H60">
        <v>45</v>
      </c>
      <c r="I60" s="2">
        <v>674.55</v>
      </c>
      <c r="J60" s="2">
        <v>180</v>
      </c>
    </row>
    <row r="61" spans="1:10" x14ac:dyDescent="0.35">
      <c r="A61">
        <v>2021</v>
      </c>
      <c r="B61">
        <v>8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35">
      <c r="A62">
        <v>2021</v>
      </c>
      <c r="B62">
        <v>8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21</v>
      </c>
      <c r="I62" s="2">
        <v>230.79</v>
      </c>
      <c r="J62" s="2">
        <v>105</v>
      </c>
    </row>
    <row r="63" spans="1:10" x14ac:dyDescent="0.35">
      <c r="A63">
        <v>2021</v>
      </c>
      <c r="B63">
        <v>8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5">
      <c r="A64">
        <v>2021</v>
      </c>
      <c r="B64">
        <v>8</v>
      </c>
      <c r="C64" t="s">
        <v>62</v>
      </c>
      <c r="D64" t="s">
        <v>5</v>
      </c>
      <c r="E64" t="s">
        <v>0</v>
      </c>
      <c r="F64" t="s">
        <v>38</v>
      </c>
      <c r="G64" t="s">
        <v>9</v>
      </c>
      <c r="H64">
        <v>12</v>
      </c>
      <c r="I64" s="2">
        <v>119.88</v>
      </c>
      <c r="J64" s="2">
        <v>84</v>
      </c>
    </row>
    <row r="65" spans="1:10" x14ac:dyDescent="0.35">
      <c r="A65">
        <v>2021</v>
      </c>
      <c r="B65">
        <v>8</v>
      </c>
      <c r="C65" t="s">
        <v>62</v>
      </c>
      <c r="D65" t="s">
        <v>5</v>
      </c>
      <c r="E65" t="s">
        <v>0</v>
      </c>
      <c r="F65" t="s">
        <v>31</v>
      </c>
      <c r="G65" t="s">
        <v>12</v>
      </c>
      <c r="H65">
        <v>14</v>
      </c>
      <c r="I65" s="2">
        <v>279.85999999999996</v>
      </c>
      <c r="J65" s="2">
        <v>83.999999999999972</v>
      </c>
    </row>
    <row r="66" spans="1:10" x14ac:dyDescent="0.35">
      <c r="A66">
        <v>2021</v>
      </c>
      <c r="B66">
        <v>8</v>
      </c>
      <c r="C66" t="s">
        <v>62</v>
      </c>
      <c r="D66" t="s">
        <v>5</v>
      </c>
      <c r="E66" t="s">
        <v>0</v>
      </c>
      <c r="F66" t="s">
        <v>15</v>
      </c>
      <c r="G66" t="s">
        <v>14</v>
      </c>
      <c r="H66">
        <v>91</v>
      </c>
      <c r="I66" s="2">
        <v>3639.09</v>
      </c>
      <c r="J66" s="2">
        <v>455</v>
      </c>
    </row>
    <row r="67" spans="1:10" x14ac:dyDescent="0.35">
      <c r="A67">
        <v>2021</v>
      </c>
      <c r="B67">
        <v>8</v>
      </c>
      <c r="C67" t="s">
        <v>62</v>
      </c>
      <c r="D67" t="s">
        <v>5</v>
      </c>
      <c r="E67" t="s">
        <v>0</v>
      </c>
      <c r="F67" t="s">
        <v>42</v>
      </c>
      <c r="G67" t="s">
        <v>12</v>
      </c>
      <c r="H67">
        <v>126</v>
      </c>
      <c r="I67" s="2">
        <v>2014.74</v>
      </c>
      <c r="J67" s="2">
        <v>252</v>
      </c>
    </row>
    <row r="68" spans="1:10" x14ac:dyDescent="0.35">
      <c r="A68">
        <v>2021</v>
      </c>
      <c r="B68">
        <v>8</v>
      </c>
      <c r="C68" t="s">
        <v>62</v>
      </c>
      <c r="D68" t="s">
        <v>5</v>
      </c>
      <c r="E68" t="s">
        <v>0</v>
      </c>
      <c r="F68" t="s">
        <v>33</v>
      </c>
      <c r="G68" t="s">
        <v>7</v>
      </c>
      <c r="H68">
        <v>4</v>
      </c>
      <c r="I68" s="2">
        <v>99.96</v>
      </c>
      <c r="J68" s="2">
        <v>63.999999999999993</v>
      </c>
    </row>
    <row r="69" spans="1:10" x14ac:dyDescent="0.35">
      <c r="A69">
        <v>2021</v>
      </c>
      <c r="B69">
        <v>8</v>
      </c>
      <c r="C69" t="s">
        <v>62</v>
      </c>
      <c r="D69" t="s">
        <v>5</v>
      </c>
      <c r="E69" t="s">
        <v>0</v>
      </c>
      <c r="F69" t="s">
        <v>22</v>
      </c>
      <c r="G69" t="s">
        <v>7</v>
      </c>
      <c r="H69">
        <v>59</v>
      </c>
      <c r="I69" s="2">
        <v>589.41</v>
      </c>
      <c r="J69" s="2">
        <v>177</v>
      </c>
    </row>
    <row r="70" spans="1:10" x14ac:dyDescent="0.35">
      <c r="A70">
        <v>2021</v>
      </c>
      <c r="B70">
        <v>8</v>
      </c>
      <c r="C70" t="s">
        <v>62</v>
      </c>
      <c r="D70" t="s">
        <v>5</v>
      </c>
      <c r="E70" t="s">
        <v>0</v>
      </c>
      <c r="F70" t="s">
        <v>19</v>
      </c>
      <c r="G70" t="s">
        <v>9</v>
      </c>
      <c r="H70">
        <v>8</v>
      </c>
      <c r="I70" s="2">
        <v>159.91999999999999</v>
      </c>
      <c r="J70" s="2">
        <v>47.999999999999986</v>
      </c>
    </row>
    <row r="71" spans="1:10" x14ac:dyDescent="0.35">
      <c r="A71">
        <v>2021</v>
      </c>
      <c r="B71">
        <v>8</v>
      </c>
      <c r="C71" t="s">
        <v>62</v>
      </c>
      <c r="D71" t="s">
        <v>5</v>
      </c>
      <c r="E71" t="s">
        <v>0</v>
      </c>
      <c r="F71" t="s">
        <v>10</v>
      </c>
      <c r="G71" t="s">
        <v>7</v>
      </c>
      <c r="H71">
        <v>25</v>
      </c>
      <c r="I71" s="2">
        <v>499.74999999999994</v>
      </c>
      <c r="J71" s="2">
        <v>124.99999999999996</v>
      </c>
    </row>
    <row r="72" spans="1:10" x14ac:dyDescent="0.35">
      <c r="A72">
        <v>2021</v>
      </c>
      <c r="B72">
        <v>8</v>
      </c>
      <c r="C72" t="s">
        <v>62</v>
      </c>
      <c r="D72" t="s">
        <v>5</v>
      </c>
      <c r="E72" t="s">
        <v>0</v>
      </c>
      <c r="F72" t="s">
        <v>27</v>
      </c>
      <c r="G72" t="s">
        <v>12</v>
      </c>
      <c r="H72">
        <v>205</v>
      </c>
      <c r="I72" s="2">
        <v>612.95000000000005</v>
      </c>
      <c r="J72" s="2">
        <v>205.00000000000006</v>
      </c>
    </row>
    <row r="73" spans="1:10" x14ac:dyDescent="0.35">
      <c r="A73">
        <v>2021</v>
      </c>
      <c r="B73">
        <v>8</v>
      </c>
      <c r="C73" t="s">
        <v>62</v>
      </c>
      <c r="D73" t="s">
        <v>5</v>
      </c>
      <c r="E73" t="s">
        <v>0</v>
      </c>
      <c r="F73" t="s">
        <v>37</v>
      </c>
      <c r="G73" t="s">
        <v>12</v>
      </c>
      <c r="H73">
        <v>14</v>
      </c>
      <c r="I73" s="2">
        <v>349.85999999999996</v>
      </c>
      <c r="J73" s="2">
        <v>56</v>
      </c>
    </row>
    <row r="74" spans="1:10" x14ac:dyDescent="0.35">
      <c r="A74">
        <v>2021</v>
      </c>
      <c r="B74">
        <v>8</v>
      </c>
      <c r="C74" t="s">
        <v>62</v>
      </c>
      <c r="D74" t="s">
        <v>5</v>
      </c>
      <c r="E74" t="s">
        <v>0</v>
      </c>
      <c r="F74" t="s">
        <v>11</v>
      </c>
      <c r="G74" t="s">
        <v>12</v>
      </c>
      <c r="H74">
        <v>16</v>
      </c>
      <c r="I74" s="2">
        <v>79.84</v>
      </c>
      <c r="J74" s="2">
        <v>16</v>
      </c>
    </row>
    <row r="75" spans="1:10" x14ac:dyDescent="0.35">
      <c r="A75">
        <v>2021</v>
      </c>
      <c r="B75">
        <v>8</v>
      </c>
      <c r="C75" t="s">
        <v>62</v>
      </c>
      <c r="D75" t="s">
        <v>5</v>
      </c>
      <c r="E75" t="s">
        <v>0</v>
      </c>
      <c r="F75" t="s">
        <v>45</v>
      </c>
      <c r="G75" t="s">
        <v>12</v>
      </c>
      <c r="H75">
        <v>31</v>
      </c>
      <c r="I75" s="2">
        <v>340.69</v>
      </c>
      <c r="J75" s="2">
        <v>217</v>
      </c>
    </row>
    <row r="76" spans="1:10" x14ac:dyDescent="0.35">
      <c r="A76">
        <v>2021</v>
      </c>
      <c r="B76">
        <v>8</v>
      </c>
      <c r="C76" t="s">
        <v>62</v>
      </c>
      <c r="D76" t="s">
        <v>5</v>
      </c>
      <c r="E76" t="s">
        <v>0</v>
      </c>
      <c r="F76" t="s">
        <v>39</v>
      </c>
      <c r="G76" t="s">
        <v>14</v>
      </c>
      <c r="H76">
        <v>1</v>
      </c>
      <c r="I76" s="2">
        <v>19.989999999999998</v>
      </c>
      <c r="J76" s="2">
        <v>10.999999999999998</v>
      </c>
    </row>
    <row r="77" spans="1:10" x14ac:dyDescent="0.35">
      <c r="A77">
        <v>2021</v>
      </c>
      <c r="B77">
        <v>8</v>
      </c>
      <c r="C77" t="s">
        <v>62</v>
      </c>
      <c r="D77" t="s">
        <v>5</v>
      </c>
      <c r="E77" t="s">
        <v>0</v>
      </c>
      <c r="F77" t="s">
        <v>26</v>
      </c>
      <c r="G77" t="s">
        <v>9</v>
      </c>
      <c r="H77">
        <v>70</v>
      </c>
      <c r="I77" s="2">
        <v>1399.3</v>
      </c>
      <c r="J77" s="2">
        <v>140</v>
      </c>
    </row>
    <row r="78" spans="1:10" x14ac:dyDescent="0.35">
      <c r="A78">
        <v>2021</v>
      </c>
      <c r="B78">
        <v>8</v>
      </c>
      <c r="C78" t="s">
        <v>62</v>
      </c>
      <c r="D78" t="s">
        <v>5</v>
      </c>
      <c r="E78" t="s">
        <v>0</v>
      </c>
      <c r="F78" t="s">
        <v>6</v>
      </c>
      <c r="G78" t="s">
        <v>7</v>
      </c>
      <c r="H78">
        <v>46</v>
      </c>
      <c r="I78" s="2">
        <v>413.54</v>
      </c>
      <c r="J78" s="2">
        <v>46</v>
      </c>
    </row>
    <row r="79" spans="1:10" x14ac:dyDescent="0.35">
      <c r="A79">
        <v>2021</v>
      </c>
      <c r="B79">
        <v>8</v>
      </c>
      <c r="C79" t="s">
        <v>62</v>
      </c>
      <c r="D79" t="s">
        <v>5</v>
      </c>
      <c r="E79" t="s">
        <v>0</v>
      </c>
      <c r="F79" t="s">
        <v>23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35">
      <c r="A80">
        <v>2021</v>
      </c>
      <c r="B80">
        <v>8</v>
      </c>
      <c r="C80" t="s">
        <v>55</v>
      </c>
      <c r="D80" t="s">
        <v>48</v>
      </c>
      <c r="E80" t="s">
        <v>0</v>
      </c>
      <c r="F80" t="s">
        <v>13</v>
      </c>
      <c r="G80" t="s">
        <v>14</v>
      </c>
      <c r="H80">
        <v>33</v>
      </c>
      <c r="I80" s="2">
        <v>527.66999999999996</v>
      </c>
      <c r="J80" s="2">
        <v>198</v>
      </c>
    </row>
    <row r="81" spans="1:10" x14ac:dyDescent="0.35">
      <c r="A81">
        <v>2021</v>
      </c>
      <c r="B81">
        <v>8</v>
      </c>
      <c r="C81" t="s">
        <v>55</v>
      </c>
      <c r="D81" t="s">
        <v>48</v>
      </c>
      <c r="E81" t="s">
        <v>0</v>
      </c>
      <c r="F81" t="s">
        <v>24</v>
      </c>
      <c r="G81" t="s">
        <v>14</v>
      </c>
      <c r="H81">
        <v>66</v>
      </c>
      <c r="I81" s="2">
        <v>857.34</v>
      </c>
      <c r="J81" s="2">
        <v>198</v>
      </c>
    </row>
    <row r="82" spans="1:10" x14ac:dyDescent="0.35">
      <c r="A82">
        <v>2021</v>
      </c>
      <c r="B82">
        <v>8</v>
      </c>
      <c r="C82" t="s">
        <v>55</v>
      </c>
      <c r="D82" t="s">
        <v>48</v>
      </c>
      <c r="E82" t="s">
        <v>0</v>
      </c>
      <c r="F82" t="s">
        <v>34</v>
      </c>
      <c r="G82" t="s">
        <v>12</v>
      </c>
      <c r="H82">
        <v>196</v>
      </c>
      <c r="I82" s="2">
        <v>782.04000000000008</v>
      </c>
      <c r="J82" s="2">
        <v>392</v>
      </c>
    </row>
    <row r="83" spans="1:10" x14ac:dyDescent="0.35">
      <c r="A83">
        <v>2021</v>
      </c>
      <c r="B83">
        <v>8</v>
      </c>
      <c r="C83" t="s">
        <v>55</v>
      </c>
      <c r="D83" t="s">
        <v>48</v>
      </c>
      <c r="E83" t="s">
        <v>0</v>
      </c>
      <c r="F83" t="s">
        <v>18</v>
      </c>
      <c r="G83" t="s">
        <v>9</v>
      </c>
      <c r="H83">
        <v>16</v>
      </c>
      <c r="I83" s="2">
        <v>207.84</v>
      </c>
      <c r="J83" s="2">
        <v>48</v>
      </c>
    </row>
    <row r="84" spans="1:10" x14ac:dyDescent="0.35">
      <c r="A84">
        <v>2021</v>
      </c>
      <c r="B84">
        <v>8</v>
      </c>
      <c r="C84" t="s">
        <v>55</v>
      </c>
      <c r="D84" t="s">
        <v>48</v>
      </c>
      <c r="E84" t="s">
        <v>0</v>
      </c>
      <c r="F84" t="s">
        <v>20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35">
      <c r="A85">
        <v>2021</v>
      </c>
      <c r="B85">
        <v>8</v>
      </c>
      <c r="C85" t="s">
        <v>55</v>
      </c>
      <c r="D85" t="s">
        <v>48</v>
      </c>
      <c r="E85" t="s">
        <v>0</v>
      </c>
      <c r="F85" t="s">
        <v>25</v>
      </c>
      <c r="G85" t="s">
        <v>7</v>
      </c>
      <c r="H85">
        <v>15</v>
      </c>
      <c r="I85" s="2">
        <v>239.85</v>
      </c>
      <c r="J85" s="2">
        <v>60</v>
      </c>
    </row>
    <row r="86" spans="1:10" x14ac:dyDescent="0.35">
      <c r="A86">
        <v>2021</v>
      </c>
      <c r="B86">
        <v>8</v>
      </c>
      <c r="C86" t="s">
        <v>55</v>
      </c>
      <c r="D86" t="s">
        <v>48</v>
      </c>
      <c r="E86" t="s">
        <v>0</v>
      </c>
      <c r="F86" t="s">
        <v>8</v>
      </c>
      <c r="G86" t="s">
        <v>9</v>
      </c>
      <c r="H86">
        <v>82</v>
      </c>
      <c r="I86" s="2">
        <v>573.18000000000006</v>
      </c>
      <c r="J86" s="2">
        <v>246</v>
      </c>
    </row>
    <row r="87" spans="1:10" x14ac:dyDescent="0.35">
      <c r="A87">
        <v>2021</v>
      </c>
      <c r="B87">
        <v>8</v>
      </c>
      <c r="C87" t="s">
        <v>55</v>
      </c>
      <c r="D87" t="s">
        <v>48</v>
      </c>
      <c r="E87" t="s">
        <v>0</v>
      </c>
      <c r="F87" t="s">
        <v>17</v>
      </c>
      <c r="G87" t="s">
        <v>14</v>
      </c>
      <c r="H87">
        <v>115</v>
      </c>
      <c r="I87" s="2">
        <v>1263.8500000000001</v>
      </c>
      <c r="J87" s="2">
        <v>115</v>
      </c>
    </row>
    <row r="88" spans="1:10" x14ac:dyDescent="0.35">
      <c r="A88">
        <v>2021</v>
      </c>
      <c r="B88">
        <v>8</v>
      </c>
      <c r="C88" t="s">
        <v>55</v>
      </c>
      <c r="D88" t="s">
        <v>48</v>
      </c>
      <c r="E88" t="s">
        <v>0</v>
      </c>
      <c r="F88" t="s">
        <v>28</v>
      </c>
      <c r="G88" t="s">
        <v>14</v>
      </c>
      <c r="H88">
        <v>6</v>
      </c>
      <c r="I88" s="2">
        <v>89.94</v>
      </c>
      <c r="J88" s="2">
        <v>24</v>
      </c>
    </row>
    <row r="89" spans="1:10" x14ac:dyDescent="0.35">
      <c r="A89">
        <v>2021</v>
      </c>
      <c r="B89">
        <v>8</v>
      </c>
      <c r="C89" t="s">
        <v>55</v>
      </c>
      <c r="D89" t="s">
        <v>48</v>
      </c>
      <c r="E89" t="s">
        <v>0</v>
      </c>
      <c r="F89" t="s">
        <v>43</v>
      </c>
      <c r="G89" t="s">
        <v>12</v>
      </c>
      <c r="H89">
        <v>10</v>
      </c>
      <c r="I89" s="2">
        <v>209.89999999999998</v>
      </c>
      <c r="J89" s="2">
        <v>99.999999999999986</v>
      </c>
    </row>
    <row r="90" spans="1:10" x14ac:dyDescent="0.35">
      <c r="A90">
        <v>2021</v>
      </c>
      <c r="B90">
        <v>8</v>
      </c>
      <c r="C90" t="s">
        <v>55</v>
      </c>
      <c r="D90" t="s">
        <v>48</v>
      </c>
      <c r="E90" t="s">
        <v>0</v>
      </c>
      <c r="F90" t="s">
        <v>32</v>
      </c>
      <c r="G90" t="s">
        <v>9</v>
      </c>
      <c r="H90">
        <v>30</v>
      </c>
      <c r="I90" s="2">
        <v>329.7</v>
      </c>
      <c r="J90" s="2">
        <v>150</v>
      </c>
    </row>
    <row r="91" spans="1:10" x14ac:dyDescent="0.35">
      <c r="A91">
        <v>2021</v>
      </c>
      <c r="B91">
        <v>8</v>
      </c>
      <c r="C91" t="s">
        <v>55</v>
      </c>
      <c r="D91" t="s">
        <v>48</v>
      </c>
      <c r="E91" t="s">
        <v>0</v>
      </c>
      <c r="F91" t="s">
        <v>35</v>
      </c>
      <c r="G91" t="s">
        <v>14</v>
      </c>
      <c r="H91">
        <v>52</v>
      </c>
      <c r="I91" s="2">
        <v>311.48</v>
      </c>
      <c r="J91" s="2">
        <v>104</v>
      </c>
    </row>
    <row r="92" spans="1:10" x14ac:dyDescent="0.35">
      <c r="A92">
        <v>2021</v>
      </c>
      <c r="B92">
        <v>8</v>
      </c>
      <c r="C92" t="s">
        <v>55</v>
      </c>
      <c r="D92" t="s">
        <v>48</v>
      </c>
      <c r="E92" t="s">
        <v>0</v>
      </c>
      <c r="F92" t="s">
        <v>38</v>
      </c>
      <c r="G92" t="s">
        <v>9</v>
      </c>
      <c r="H92">
        <v>12</v>
      </c>
      <c r="I92" s="2">
        <v>119.88</v>
      </c>
      <c r="J92" s="2">
        <v>84</v>
      </c>
    </row>
    <row r="93" spans="1:10" x14ac:dyDescent="0.35">
      <c r="A93">
        <v>2021</v>
      </c>
      <c r="B93">
        <v>8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104</v>
      </c>
      <c r="I93" s="2">
        <v>4158.96</v>
      </c>
      <c r="J93" s="2">
        <v>520</v>
      </c>
    </row>
    <row r="94" spans="1:10" x14ac:dyDescent="0.35">
      <c r="A94">
        <v>2021</v>
      </c>
      <c r="B94">
        <v>8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86</v>
      </c>
      <c r="I94" s="2">
        <v>1375.14</v>
      </c>
      <c r="J94" s="2">
        <v>172</v>
      </c>
    </row>
    <row r="95" spans="1:10" x14ac:dyDescent="0.35">
      <c r="A95">
        <v>2021</v>
      </c>
      <c r="B95">
        <v>8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65</v>
      </c>
      <c r="I95" s="2">
        <v>649.35</v>
      </c>
      <c r="J95" s="2">
        <v>195</v>
      </c>
    </row>
    <row r="96" spans="1:10" x14ac:dyDescent="0.35">
      <c r="A96">
        <v>2021</v>
      </c>
      <c r="B96">
        <v>8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7</v>
      </c>
      <c r="I96" s="2">
        <v>139.92999999999998</v>
      </c>
      <c r="J96" s="2">
        <v>41.999999999999986</v>
      </c>
    </row>
    <row r="97" spans="1:10" x14ac:dyDescent="0.35">
      <c r="A97">
        <v>2021</v>
      </c>
      <c r="B97">
        <v>8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19</v>
      </c>
      <c r="I97" s="2">
        <v>189.81</v>
      </c>
      <c r="J97" s="2">
        <v>95</v>
      </c>
    </row>
    <row r="98" spans="1:10" x14ac:dyDescent="0.35">
      <c r="A98">
        <v>2021</v>
      </c>
      <c r="B98">
        <v>8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11</v>
      </c>
      <c r="I98" s="2">
        <v>219.89</v>
      </c>
      <c r="J98" s="2">
        <v>54.999999999999979</v>
      </c>
    </row>
    <row r="99" spans="1:10" x14ac:dyDescent="0.35">
      <c r="A99">
        <v>2021</v>
      </c>
      <c r="B99">
        <v>8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94</v>
      </c>
      <c r="I99" s="2">
        <v>281.06</v>
      </c>
      <c r="J99" s="2">
        <v>94.000000000000014</v>
      </c>
    </row>
    <row r="100" spans="1:10" x14ac:dyDescent="0.35">
      <c r="A100">
        <v>2021</v>
      </c>
      <c r="B100">
        <v>8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8</v>
      </c>
      <c r="I100" s="2">
        <v>199.92</v>
      </c>
      <c r="J100" s="2">
        <v>32</v>
      </c>
    </row>
    <row r="101" spans="1:10" x14ac:dyDescent="0.35">
      <c r="A101">
        <v>2021</v>
      </c>
      <c r="B101">
        <v>8</v>
      </c>
      <c r="C101" t="s">
        <v>55</v>
      </c>
      <c r="D101" t="s">
        <v>48</v>
      </c>
      <c r="E101" t="s">
        <v>0</v>
      </c>
      <c r="F101" t="s">
        <v>11</v>
      </c>
      <c r="G101" t="s">
        <v>12</v>
      </c>
      <c r="H101">
        <v>47</v>
      </c>
      <c r="I101" s="2">
        <v>234.53</v>
      </c>
      <c r="J101" s="2">
        <v>47</v>
      </c>
    </row>
    <row r="102" spans="1:10" x14ac:dyDescent="0.35">
      <c r="A102">
        <v>2021</v>
      </c>
      <c r="B102">
        <v>8</v>
      </c>
      <c r="C102" t="s">
        <v>55</v>
      </c>
      <c r="D102" t="s">
        <v>48</v>
      </c>
      <c r="E102" t="s">
        <v>0</v>
      </c>
      <c r="F102" t="s">
        <v>45</v>
      </c>
      <c r="G102" t="s">
        <v>12</v>
      </c>
      <c r="H102">
        <v>28</v>
      </c>
      <c r="I102" s="2">
        <v>307.72000000000003</v>
      </c>
      <c r="J102" s="2">
        <v>196</v>
      </c>
    </row>
    <row r="103" spans="1:10" x14ac:dyDescent="0.35">
      <c r="A103">
        <v>2021</v>
      </c>
      <c r="B103">
        <v>8</v>
      </c>
      <c r="C103" t="s">
        <v>55</v>
      </c>
      <c r="D103" t="s">
        <v>48</v>
      </c>
      <c r="E103" t="s">
        <v>0</v>
      </c>
      <c r="F103" t="s">
        <v>26</v>
      </c>
      <c r="G103" t="s">
        <v>9</v>
      </c>
      <c r="H103">
        <v>11</v>
      </c>
      <c r="I103" s="2">
        <v>219.89</v>
      </c>
      <c r="J103" s="2">
        <v>22</v>
      </c>
    </row>
    <row r="104" spans="1:10" x14ac:dyDescent="0.35">
      <c r="A104">
        <v>2021</v>
      </c>
      <c r="B104">
        <v>8</v>
      </c>
      <c r="C104" t="s">
        <v>55</v>
      </c>
      <c r="D104" t="s">
        <v>48</v>
      </c>
      <c r="E104" t="s">
        <v>0</v>
      </c>
      <c r="F104" t="s">
        <v>6</v>
      </c>
      <c r="G104" t="s">
        <v>7</v>
      </c>
      <c r="H104">
        <v>66</v>
      </c>
      <c r="I104" s="2">
        <v>593.34</v>
      </c>
      <c r="J104" s="2">
        <v>66</v>
      </c>
    </row>
    <row r="105" spans="1:10" x14ac:dyDescent="0.35">
      <c r="A105">
        <v>2021</v>
      </c>
      <c r="B105">
        <v>8</v>
      </c>
      <c r="C105" t="s">
        <v>55</v>
      </c>
      <c r="D105" t="s">
        <v>48</v>
      </c>
      <c r="E105" t="s">
        <v>0</v>
      </c>
      <c r="F105" t="s">
        <v>16</v>
      </c>
      <c r="G105" t="s">
        <v>14</v>
      </c>
      <c r="H105">
        <v>19</v>
      </c>
      <c r="I105" s="2">
        <v>246.81</v>
      </c>
      <c r="J105" s="2">
        <v>38</v>
      </c>
    </row>
    <row r="106" spans="1:10" x14ac:dyDescent="0.35">
      <c r="A106">
        <v>2021</v>
      </c>
      <c r="B106">
        <v>8</v>
      </c>
      <c r="C106" t="s">
        <v>55</v>
      </c>
      <c r="D106" t="s">
        <v>48</v>
      </c>
      <c r="E106" t="s">
        <v>0</v>
      </c>
      <c r="F106" t="s">
        <v>23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35">
      <c r="A107">
        <v>2021</v>
      </c>
      <c r="B107">
        <v>8</v>
      </c>
      <c r="C107" t="s">
        <v>55</v>
      </c>
      <c r="D107" t="s">
        <v>48</v>
      </c>
      <c r="E107" t="s">
        <v>0</v>
      </c>
      <c r="F107" t="s">
        <v>29</v>
      </c>
      <c r="G107" t="s">
        <v>9</v>
      </c>
      <c r="H107">
        <v>11</v>
      </c>
      <c r="I107" s="2">
        <v>87.89</v>
      </c>
      <c r="J107" s="2">
        <v>44</v>
      </c>
    </row>
    <row r="108" spans="1:10" x14ac:dyDescent="0.35">
      <c r="A108">
        <v>2021</v>
      </c>
      <c r="B108">
        <v>8</v>
      </c>
      <c r="C108" t="s">
        <v>61</v>
      </c>
      <c r="D108" t="s">
        <v>4</v>
      </c>
      <c r="E108" t="s">
        <v>3</v>
      </c>
      <c r="F108" t="s">
        <v>13</v>
      </c>
      <c r="G108" t="s">
        <v>14</v>
      </c>
      <c r="H108">
        <v>51</v>
      </c>
      <c r="I108" s="2">
        <v>815.49</v>
      </c>
      <c r="J108" s="2">
        <v>306</v>
      </c>
    </row>
    <row r="109" spans="1:10" x14ac:dyDescent="0.35">
      <c r="A109">
        <v>2021</v>
      </c>
      <c r="B109">
        <v>8</v>
      </c>
      <c r="C109" t="s">
        <v>61</v>
      </c>
      <c r="D109" t="s">
        <v>4</v>
      </c>
      <c r="E109" t="s">
        <v>3</v>
      </c>
      <c r="F109" t="s">
        <v>24</v>
      </c>
      <c r="G109" t="s">
        <v>14</v>
      </c>
      <c r="H109">
        <v>59</v>
      </c>
      <c r="I109" s="2">
        <v>766.41</v>
      </c>
      <c r="J109" s="2">
        <v>177</v>
      </c>
    </row>
    <row r="110" spans="1:10" x14ac:dyDescent="0.35">
      <c r="A110">
        <v>2021</v>
      </c>
      <c r="B110">
        <v>8</v>
      </c>
      <c r="C110" t="s">
        <v>61</v>
      </c>
      <c r="D110" t="s">
        <v>4</v>
      </c>
      <c r="E110" t="s">
        <v>3</v>
      </c>
      <c r="F110" t="s">
        <v>34</v>
      </c>
      <c r="G110" t="s">
        <v>12</v>
      </c>
      <c r="H110">
        <v>77</v>
      </c>
      <c r="I110" s="2">
        <v>307.23</v>
      </c>
      <c r="J110" s="2">
        <v>154</v>
      </c>
    </row>
    <row r="111" spans="1:10" x14ac:dyDescent="0.35">
      <c r="A111">
        <v>2021</v>
      </c>
      <c r="B111">
        <v>8</v>
      </c>
      <c r="C111" t="s">
        <v>61</v>
      </c>
      <c r="D111" t="s">
        <v>4</v>
      </c>
      <c r="E111" t="s">
        <v>3</v>
      </c>
      <c r="F111" t="s">
        <v>20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35">
      <c r="A112">
        <v>2021</v>
      </c>
      <c r="B112">
        <v>8</v>
      </c>
      <c r="C112" t="s">
        <v>61</v>
      </c>
      <c r="D112" t="s">
        <v>4</v>
      </c>
      <c r="E112" t="s">
        <v>3</v>
      </c>
      <c r="F112" t="s">
        <v>25</v>
      </c>
      <c r="G112" t="s">
        <v>7</v>
      </c>
      <c r="H112">
        <v>54</v>
      </c>
      <c r="I112" s="2">
        <v>863.46</v>
      </c>
      <c r="J112" s="2">
        <v>216</v>
      </c>
    </row>
    <row r="113" spans="1:10" x14ac:dyDescent="0.35">
      <c r="A113">
        <v>2021</v>
      </c>
      <c r="B113">
        <v>8</v>
      </c>
      <c r="C113" t="s">
        <v>61</v>
      </c>
      <c r="D113" t="s">
        <v>4</v>
      </c>
      <c r="E113" t="s">
        <v>3</v>
      </c>
      <c r="F113" t="s">
        <v>8</v>
      </c>
      <c r="G113" t="s">
        <v>9</v>
      </c>
      <c r="H113">
        <v>118</v>
      </c>
      <c r="I113" s="2">
        <v>824.82</v>
      </c>
      <c r="J113" s="2">
        <v>354</v>
      </c>
    </row>
    <row r="114" spans="1:10" x14ac:dyDescent="0.35">
      <c r="A114">
        <v>2021</v>
      </c>
      <c r="B114">
        <v>8</v>
      </c>
      <c r="C114" t="s">
        <v>61</v>
      </c>
      <c r="D114" t="s">
        <v>4</v>
      </c>
      <c r="E114" t="s">
        <v>3</v>
      </c>
      <c r="F114" t="s">
        <v>17</v>
      </c>
      <c r="G114" t="s">
        <v>14</v>
      </c>
      <c r="H114">
        <v>254</v>
      </c>
      <c r="I114" s="2">
        <v>2791.46</v>
      </c>
      <c r="J114" s="2">
        <v>254</v>
      </c>
    </row>
    <row r="115" spans="1:10" x14ac:dyDescent="0.35">
      <c r="A115">
        <v>2021</v>
      </c>
      <c r="B115">
        <v>8</v>
      </c>
      <c r="C115" t="s">
        <v>61</v>
      </c>
      <c r="D115" t="s">
        <v>4</v>
      </c>
      <c r="E115" t="s">
        <v>3</v>
      </c>
      <c r="F115" t="s">
        <v>28</v>
      </c>
      <c r="G115" t="s">
        <v>14</v>
      </c>
      <c r="H115">
        <v>85</v>
      </c>
      <c r="I115" s="2">
        <v>1274.1500000000001</v>
      </c>
      <c r="J115" s="2">
        <v>340</v>
      </c>
    </row>
    <row r="116" spans="1:10" x14ac:dyDescent="0.35">
      <c r="A116">
        <v>2021</v>
      </c>
      <c r="B116">
        <v>8</v>
      </c>
      <c r="C116" t="s">
        <v>61</v>
      </c>
      <c r="D116" t="s">
        <v>4</v>
      </c>
      <c r="E116" t="s">
        <v>3</v>
      </c>
      <c r="F116" t="s">
        <v>43</v>
      </c>
      <c r="G116" t="s">
        <v>12</v>
      </c>
      <c r="H116">
        <v>18</v>
      </c>
      <c r="I116" s="2">
        <v>377.82</v>
      </c>
      <c r="J116" s="2">
        <v>179.99999999999997</v>
      </c>
    </row>
    <row r="117" spans="1:10" x14ac:dyDescent="0.35">
      <c r="A117">
        <v>2021</v>
      </c>
      <c r="B117">
        <v>8</v>
      </c>
      <c r="C117" t="s">
        <v>61</v>
      </c>
      <c r="D117" t="s">
        <v>4</v>
      </c>
      <c r="E117" t="s">
        <v>3</v>
      </c>
      <c r="F117" t="s">
        <v>44</v>
      </c>
      <c r="G117" t="s">
        <v>7</v>
      </c>
      <c r="H117">
        <v>75</v>
      </c>
      <c r="I117" s="2">
        <v>899.25</v>
      </c>
      <c r="J117" s="2">
        <v>225</v>
      </c>
    </row>
    <row r="118" spans="1:10" x14ac:dyDescent="0.35">
      <c r="A118">
        <v>2021</v>
      </c>
      <c r="B118">
        <v>8</v>
      </c>
      <c r="C118" t="s">
        <v>61</v>
      </c>
      <c r="D118" t="s">
        <v>4</v>
      </c>
      <c r="E118" t="s">
        <v>3</v>
      </c>
      <c r="F118" t="s">
        <v>40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35">
      <c r="A119">
        <v>2021</v>
      </c>
      <c r="B119">
        <v>8</v>
      </c>
      <c r="C119" t="s">
        <v>61</v>
      </c>
      <c r="D119" t="s">
        <v>4</v>
      </c>
      <c r="E119" t="s">
        <v>3</v>
      </c>
      <c r="F119" t="s">
        <v>32</v>
      </c>
      <c r="G119" t="s">
        <v>9</v>
      </c>
      <c r="H119">
        <v>29</v>
      </c>
      <c r="I119" s="2">
        <v>318.70999999999998</v>
      </c>
      <c r="J119" s="2">
        <v>145</v>
      </c>
    </row>
    <row r="120" spans="1:10" x14ac:dyDescent="0.35">
      <c r="A120">
        <v>2021</v>
      </c>
      <c r="B120">
        <v>8</v>
      </c>
      <c r="C120" t="s">
        <v>61</v>
      </c>
      <c r="D120" t="s">
        <v>4</v>
      </c>
      <c r="E120" t="s">
        <v>3</v>
      </c>
      <c r="F120" t="s">
        <v>35</v>
      </c>
      <c r="G120" t="s">
        <v>14</v>
      </c>
      <c r="H120">
        <v>15</v>
      </c>
      <c r="I120" s="2">
        <v>89.850000000000009</v>
      </c>
      <c r="J120" s="2">
        <v>30</v>
      </c>
    </row>
    <row r="121" spans="1:10" x14ac:dyDescent="0.35">
      <c r="A121">
        <v>2021</v>
      </c>
      <c r="B121">
        <v>8</v>
      </c>
      <c r="C121" t="s">
        <v>61</v>
      </c>
      <c r="D121" t="s">
        <v>4</v>
      </c>
      <c r="E121" t="s">
        <v>3</v>
      </c>
      <c r="F121" t="s">
        <v>31</v>
      </c>
      <c r="G121" t="s">
        <v>12</v>
      </c>
      <c r="H121">
        <v>24</v>
      </c>
      <c r="I121" s="2">
        <v>479.76</v>
      </c>
      <c r="J121" s="2">
        <v>143.99999999999994</v>
      </c>
    </row>
    <row r="122" spans="1:10" x14ac:dyDescent="0.35">
      <c r="A122">
        <v>2021</v>
      </c>
      <c r="B122">
        <v>8</v>
      </c>
      <c r="C122" t="s">
        <v>61</v>
      </c>
      <c r="D122" t="s">
        <v>4</v>
      </c>
      <c r="E122" t="s">
        <v>3</v>
      </c>
      <c r="F122" t="s">
        <v>15</v>
      </c>
      <c r="G122" t="s">
        <v>14</v>
      </c>
      <c r="H122">
        <v>91</v>
      </c>
      <c r="I122" s="2">
        <v>3639.09</v>
      </c>
      <c r="J122" s="2">
        <v>455</v>
      </c>
    </row>
    <row r="123" spans="1:10" x14ac:dyDescent="0.35">
      <c r="A123">
        <v>2021</v>
      </c>
      <c r="B123">
        <v>8</v>
      </c>
      <c r="C123" t="s">
        <v>61</v>
      </c>
      <c r="D123" t="s">
        <v>4</v>
      </c>
      <c r="E123" t="s">
        <v>3</v>
      </c>
      <c r="F123" t="s">
        <v>42</v>
      </c>
      <c r="G123" t="s">
        <v>12</v>
      </c>
      <c r="H123">
        <v>95</v>
      </c>
      <c r="I123" s="2">
        <v>1519.05</v>
      </c>
      <c r="J123" s="2">
        <v>190</v>
      </c>
    </row>
    <row r="124" spans="1:10" x14ac:dyDescent="0.35">
      <c r="A124">
        <v>2021</v>
      </c>
      <c r="B124">
        <v>8</v>
      </c>
      <c r="C124" t="s">
        <v>61</v>
      </c>
      <c r="D124" t="s">
        <v>4</v>
      </c>
      <c r="E124" t="s">
        <v>3</v>
      </c>
      <c r="F124" t="s">
        <v>41</v>
      </c>
      <c r="G124" t="s">
        <v>14</v>
      </c>
      <c r="H124">
        <v>7</v>
      </c>
      <c r="I124" s="2">
        <v>69.930000000000007</v>
      </c>
      <c r="J124" s="2">
        <v>35</v>
      </c>
    </row>
    <row r="125" spans="1:10" x14ac:dyDescent="0.35">
      <c r="A125">
        <v>2021</v>
      </c>
      <c r="B125">
        <v>8</v>
      </c>
      <c r="C125" t="s">
        <v>61</v>
      </c>
      <c r="D125" t="s">
        <v>4</v>
      </c>
      <c r="E125" t="s">
        <v>3</v>
      </c>
      <c r="F125" t="s">
        <v>10</v>
      </c>
      <c r="G125" t="s">
        <v>7</v>
      </c>
      <c r="H125">
        <v>57</v>
      </c>
      <c r="I125" s="2">
        <v>1139.4299999999998</v>
      </c>
      <c r="J125" s="2">
        <v>284.99999999999989</v>
      </c>
    </row>
    <row r="126" spans="1:10" x14ac:dyDescent="0.35">
      <c r="A126">
        <v>2021</v>
      </c>
      <c r="B126">
        <v>8</v>
      </c>
      <c r="C126" t="s">
        <v>61</v>
      </c>
      <c r="D126" t="s">
        <v>4</v>
      </c>
      <c r="E126" t="s">
        <v>3</v>
      </c>
      <c r="F126" t="s">
        <v>27</v>
      </c>
      <c r="G126" t="s">
        <v>12</v>
      </c>
      <c r="H126">
        <v>80</v>
      </c>
      <c r="I126" s="2">
        <v>239.20000000000002</v>
      </c>
      <c r="J126" s="2">
        <v>80.000000000000014</v>
      </c>
    </row>
    <row r="127" spans="1:10" x14ac:dyDescent="0.35">
      <c r="A127">
        <v>2021</v>
      </c>
      <c r="B127">
        <v>8</v>
      </c>
      <c r="C127" t="s">
        <v>61</v>
      </c>
      <c r="D127" t="s">
        <v>4</v>
      </c>
      <c r="E127" t="s">
        <v>3</v>
      </c>
      <c r="F127" t="s">
        <v>37</v>
      </c>
      <c r="G127" t="s">
        <v>12</v>
      </c>
      <c r="H127">
        <v>12</v>
      </c>
      <c r="I127" s="2">
        <v>299.88</v>
      </c>
      <c r="J127" s="2">
        <v>48</v>
      </c>
    </row>
    <row r="128" spans="1:10" x14ac:dyDescent="0.35">
      <c r="A128">
        <v>2021</v>
      </c>
      <c r="B128">
        <v>8</v>
      </c>
      <c r="C128" t="s">
        <v>61</v>
      </c>
      <c r="D128" t="s">
        <v>4</v>
      </c>
      <c r="E128" t="s">
        <v>3</v>
      </c>
      <c r="F128" t="s">
        <v>11</v>
      </c>
      <c r="G128" t="s">
        <v>12</v>
      </c>
      <c r="H128">
        <v>1</v>
      </c>
      <c r="I128" s="2">
        <v>4.99</v>
      </c>
      <c r="J128" s="2">
        <v>1</v>
      </c>
    </row>
    <row r="129" spans="1:10" x14ac:dyDescent="0.35">
      <c r="A129">
        <v>2021</v>
      </c>
      <c r="B129">
        <v>8</v>
      </c>
      <c r="C129" t="s">
        <v>61</v>
      </c>
      <c r="D129" t="s">
        <v>4</v>
      </c>
      <c r="E129" t="s">
        <v>3</v>
      </c>
      <c r="F129" t="s">
        <v>39</v>
      </c>
      <c r="G129" t="s">
        <v>14</v>
      </c>
      <c r="H129">
        <v>8</v>
      </c>
      <c r="I129" s="2">
        <v>159.91999999999999</v>
      </c>
      <c r="J129" s="2">
        <v>87.999999999999986</v>
      </c>
    </row>
    <row r="130" spans="1:10" x14ac:dyDescent="0.35">
      <c r="A130">
        <v>2021</v>
      </c>
      <c r="B130">
        <v>8</v>
      </c>
      <c r="C130" t="s">
        <v>61</v>
      </c>
      <c r="D130" t="s">
        <v>4</v>
      </c>
      <c r="E130" t="s">
        <v>3</v>
      </c>
      <c r="F130" t="s">
        <v>26</v>
      </c>
      <c r="G130" t="s">
        <v>9</v>
      </c>
      <c r="H130">
        <v>137</v>
      </c>
      <c r="I130" s="2">
        <v>2738.6299999999997</v>
      </c>
      <c r="J130" s="2">
        <v>274</v>
      </c>
    </row>
    <row r="131" spans="1:10" x14ac:dyDescent="0.35">
      <c r="A131">
        <v>2021</v>
      </c>
      <c r="B131">
        <v>8</v>
      </c>
      <c r="C131" t="s">
        <v>61</v>
      </c>
      <c r="D131" t="s">
        <v>4</v>
      </c>
      <c r="E131" t="s">
        <v>3</v>
      </c>
      <c r="F131" t="s">
        <v>6</v>
      </c>
      <c r="G131" t="s">
        <v>7</v>
      </c>
      <c r="H131">
        <v>28</v>
      </c>
      <c r="I131" s="2">
        <v>251.72</v>
      </c>
      <c r="J131" s="2">
        <v>28</v>
      </c>
    </row>
    <row r="132" spans="1:10" x14ac:dyDescent="0.35">
      <c r="A132">
        <v>2021</v>
      </c>
      <c r="B132">
        <v>8</v>
      </c>
      <c r="C132" t="s">
        <v>61</v>
      </c>
      <c r="D132" t="s">
        <v>4</v>
      </c>
      <c r="E132" t="s">
        <v>3</v>
      </c>
      <c r="F132" t="s">
        <v>16</v>
      </c>
      <c r="G132" t="s">
        <v>14</v>
      </c>
      <c r="H132">
        <v>5</v>
      </c>
      <c r="I132" s="2">
        <v>64.95</v>
      </c>
      <c r="J132" s="2">
        <v>10</v>
      </c>
    </row>
    <row r="133" spans="1:10" x14ac:dyDescent="0.35">
      <c r="A133">
        <v>2021</v>
      </c>
      <c r="B133">
        <v>8</v>
      </c>
      <c r="C133" t="s">
        <v>57</v>
      </c>
      <c r="D133" t="s">
        <v>48</v>
      </c>
      <c r="E133" t="s">
        <v>3</v>
      </c>
      <c r="F133" t="s">
        <v>13</v>
      </c>
      <c r="G133" t="s">
        <v>14</v>
      </c>
      <c r="H133">
        <v>32</v>
      </c>
      <c r="I133" s="2">
        <v>511.68</v>
      </c>
      <c r="J133" s="2">
        <v>192</v>
      </c>
    </row>
    <row r="134" spans="1:10" x14ac:dyDescent="0.35">
      <c r="A134">
        <v>2021</v>
      </c>
      <c r="B134">
        <v>8</v>
      </c>
      <c r="C134" t="s">
        <v>57</v>
      </c>
      <c r="D134" t="s">
        <v>48</v>
      </c>
      <c r="E134" t="s">
        <v>3</v>
      </c>
      <c r="F134" t="s">
        <v>24</v>
      </c>
      <c r="G134" t="s">
        <v>14</v>
      </c>
      <c r="H134">
        <v>52</v>
      </c>
      <c r="I134" s="2">
        <v>675.48</v>
      </c>
      <c r="J134" s="2">
        <v>156</v>
      </c>
    </row>
    <row r="135" spans="1:10" x14ac:dyDescent="0.35">
      <c r="A135">
        <v>2021</v>
      </c>
      <c r="B135">
        <v>8</v>
      </c>
      <c r="C135" t="s">
        <v>57</v>
      </c>
      <c r="D135" t="s">
        <v>48</v>
      </c>
      <c r="E135" t="s">
        <v>3</v>
      </c>
      <c r="F135" t="s">
        <v>34</v>
      </c>
      <c r="G135" t="s">
        <v>12</v>
      </c>
      <c r="H135">
        <v>147</v>
      </c>
      <c r="I135" s="2">
        <v>586.53000000000009</v>
      </c>
      <c r="J135" s="2">
        <v>294</v>
      </c>
    </row>
    <row r="136" spans="1:10" x14ac:dyDescent="0.35">
      <c r="A136">
        <v>2021</v>
      </c>
      <c r="B136">
        <v>8</v>
      </c>
      <c r="C136" t="s">
        <v>57</v>
      </c>
      <c r="D136" t="s">
        <v>48</v>
      </c>
      <c r="E136" t="s">
        <v>3</v>
      </c>
      <c r="F136" t="s">
        <v>20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35">
      <c r="A137">
        <v>2021</v>
      </c>
      <c r="B137">
        <v>8</v>
      </c>
      <c r="C137" t="s">
        <v>57</v>
      </c>
      <c r="D137" t="s">
        <v>48</v>
      </c>
      <c r="E137" t="s">
        <v>3</v>
      </c>
      <c r="F137" t="s">
        <v>25</v>
      </c>
      <c r="G137" t="s">
        <v>7</v>
      </c>
      <c r="H137">
        <v>24</v>
      </c>
      <c r="I137" s="2">
        <v>383.76</v>
      </c>
      <c r="J137" s="2">
        <v>96</v>
      </c>
    </row>
    <row r="138" spans="1:10" x14ac:dyDescent="0.35">
      <c r="A138">
        <v>2021</v>
      </c>
      <c r="B138">
        <v>8</v>
      </c>
      <c r="C138" t="s">
        <v>57</v>
      </c>
      <c r="D138" t="s">
        <v>48</v>
      </c>
      <c r="E138" t="s">
        <v>3</v>
      </c>
      <c r="F138" t="s">
        <v>8</v>
      </c>
      <c r="G138" t="s">
        <v>9</v>
      </c>
      <c r="H138">
        <v>267</v>
      </c>
      <c r="I138" s="2">
        <v>1866.3300000000002</v>
      </c>
      <c r="J138" s="2">
        <v>801</v>
      </c>
    </row>
    <row r="139" spans="1:10" x14ac:dyDescent="0.35">
      <c r="A139">
        <v>2021</v>
      </c>
      <c r="B139">
        <v>8</v>
      </c>
      <c r="C139" t="s">
        <v>57</v>
      </c>
      <c r="D139" t="s">
        <v>48</v>
      </c>
      <c r="E139" t="s">
        <v>3</v>
      </c>
      <c r="F139" t="s">
        <v>17</v>
      </c>
      <c r="G139" t="s">
        <v>14</v>
      </c>
      <c r="H139">
        <v>74</v>
      </c>
      <c r="I139" s="2">
        <v>813.26</v>
      </c>
      <c r="J139" s="2">
        <v>74</v>
      </c>
    </row>
    <row r="140" spans="1:10" x14ac:dyDescent="0.35">
      <c r="A140">
        <v>2021</v>
      </c>
      <c r="B140">
        <v>8</v>
      </c>
      <c r="C140" t="s">
        <v>57</v>
      </c>
      <c r="D140" t="s">
        <v>48</v>
      </c>
      <c r="E140" t="s">
        <v>3</v>
      </c>
      <c r="F140" t="s">
        <v>28</v>
      </c>
      <c r="G140" t="s">
        <v>14</v>
      </c>
      <c r="H140">
        <v>73</v>
      </c>
      <c r="I140" s="2">
        <v>1094.27</v>
      </c>
      <c r="J140" s="2">
        <v>292</v>
      </c>
    </row>
    <row r="141" spans="1:10" x14ac:dyDescent="0.35">
      <c r="A141">
        <v>2021</v>
      </c>
      <c r="B141">
        <v>8</v>
      </c>
      <c r="C141" t="s">
        <v>57</v>
      </c>
      <c r="D141" t="s">
        <v>48</v>
      </c>
      <c r="E141" t="s">
        <v>3</v>
      </c>
      <c r="F141" t="s">
        <v>43</v>
      </c>
      <c r="G141" t="s">
        <v>12</v>
      </c>
      <c r="H141">
        <v>15</v>
      </c>
      <c r="I141" s="2">
        <v>314.84999999999997</v>
      </c>
      <c r="J141" s="2">
        <v>149.99999999999997</v>
      </c>
    </row>
    <row r="142" spans="1:10" x14ac:dyDescent="0.35">
      <c r="A142">
        <v>2021</v>
      </c>
      <c r="B142">
        <v>8</v>
      </c>
      <c r="C142" t="s">
        <v>57</v>
      </c>
      <c r="D142" t="s">
        <v>48</v>
      </c>
      <c r="E142" t="s">
        <v>3</v>
      </c>
      <c r="F142" t="s">
        <v>44</v>
      </c>
      <c r="G142" t="s">
        <v>7</v>
      </c>
      <c r="H142">
        <v>47</v>
      </c>
      <c r="I142" s="2">
        <v>563.53</v>
      </c>
      <c r="J142" s="2">
        <v>141</v>
      </c>
    </row>
    <row r="143" spans="1:10" x14ac:dyDescent="0.35">
      <c r="A143">
        <v>2021</v>
      </c>
      <c r="B143">
        <v>8</v>
      </c>
      <c r="C143" t="s">
        <v>57</v>
      </c>
      <c r="D143" t="s">
        <v>48</v>
      </c>
      <c r="E143" t="s">
        <v>3</v>
      </c>
      <c r="F143" t="s">
        <v>40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35">
      <c r="A144">
        <v>2021</v>
      </c>
      <c r="B144">
        <v>8</v>
      </c>
      <c r="C144" t="s">
        <v>57</v>
      </c>
      <c r="D144" t="s">
        <v>48</v>
      </c>
      <c r="E144" t="s">
        <v>3</v>
      </c>
      <c r="F144" t="s">
        <v>32</v>
      </c>
      <c r="G144" t="s">
        <v>9</v>
      </c>
      <c r="H144">
        <v>31</v>
      </c>
      <c r="I144" s="2">
        <v>340.69</v>
      </c>
      <c r="J144" s="2">
        <v>155</v>
      </c>
    </row>
    <row r="145" spans="1:10" x14ac:dyDescent="0.35">
      <c r="A145">
        <v>2021</v>
      </c>
      <c r="B145">
        <v>8</v>
      </c>
      <c r="C145" t="s">
        <v>57</v>
      </c>
      <c r="D145" t="s">
        <v>48</v>
      </c>
      <c r="E145" t="s">
        <v>3</v>
      </c>
      <c r="F145" t="s">
        <v>35</v>
      </c>
      <c r="G145" t="s">
        <v>14</v>
      </c>
      <c r="H145">
        <v>55</v>
      </c>
      <c r="I145" s="2">
        <v>329.45</v>
      </c>
      <c r="J145" s="2">
        <v>110</v>
      </c>
    </row>
    <row r="146" spans="1:10" x14ac:dyDescent="0.35">
      <c r="A146">
        <v>2021</v>
      </c>
      <c r="B146">
        <v>8</v>
      </c>
      <c r="C146" t="s">
        <v>57</v>
      </c>
      <c r="D146" t="s">
        <v>48</v>
      </c>
      <c r="E146" t="s">
        <v>3</v>
      </c>
      <c r="F146" t="s">
        <v>31</v>
      </c>
      <c r="G146" t="s">
        <v>12</v>
      </c>
      <c r="H146">
        <v>53</v>
      </c>
      <c r="I146" s="2">
        <v>1059.47</v>
      </c>
      <c r="J146" s="2">
        <v>317.99999999999989</v>
      </c>
    </row>
    <row r="147" spans="1:10" x14ac:dyDescent="0.35">
      <c r="A147">
        <v>2021</v>
      </c>
      <c r="B147">
        <v>8</v>
      </c>
      <c r="C147" t="s">
        <v>57</v>
      </c>
      <c r="D147" t="s">
        <v>48</v>
      </c>
      <c r="E147" t="s">
        <v>3</v>
      </c>
      <c r="F147" t="s">
        <v>15</v>
      </c>
      <c r="G147" t="s">
        <v>14</v>
      </c>
      <c r="H147">
        <v>138</v>
      </c>
      <c r="I147" s="2">
        <v>5518.62</v>
      </c>
      <c r="J147" s="2">
        <v>690</v>
      </c>
    </row>
    <row r="148" spans="1:10" x14ac:dyDescent="0.35">
      <c r="A148">
        <v>2021</v>
      </c>
      <c r="B148">
        <v>8</v>
      </c>
      <c r="C148" t="s">
        <v>57</v>
      </c>
      <c r="D148" t="s">
        <v>48</v>
      </c>
      <c r="E148" t="s">
        <v>3</v>
      </c>
      <c r="F148" t="s">
        <v>42</v>
      </c>
      <c r="G148" t="s">
        <v>12</v>
      </c>
      <c r="H148">
        <v>170</v>
      </c>
      <c r="I148" s="2">
        <v>2718.3</v>
      </c>
      <c r="J148" s="2">
        <v>340</v>
      </c>
    </row>
    <row r="149" spans="1:10" x14ac:dyDescent="0.35">
      <c r="A149">
        <v>2021</v>
      </c>
      <c r="B149">
        <v>8</v>
      </c>
      <c r="C149" t="s">
        <v>57</v>
      </c>
      <c r="D149" t="s">
        <v>48</v>
      </c>
      <c r="E149" t="s">
        <v>3</v>
      </c>
      <c r="F149" t="s">
        <v>22</v>
      </c>
      <c r="G149" t="s">
        <v>7</v>
      </c>
      <c r="H149">
        <v>97</v>
      </c>
      <c r="I149" s="2">
        <v>969.03</v>
      </c>
      <c r="J149" s="2">
        <v>291</v>
      </c>
    </row>
    <row r="150" spans="1:10" x14ac:dyDescent="0.35">
      <c r="A150">
        <v>2021</v>
      </c>
      <c r="B150">
        <v>8</v>
      </c>
      <c r="C150" t="s">
        <v>57</v>
      </c>
      <c r="D150" t="s">
        <v>48</v>
      </c>
      <c r="E150" t="s">
        <v>3</v>
      </c>
      <c r="F150" t="s">
        <v>41</v>
      </c>
      <c r="G150" t="s">
        <v>14</v>
      </c>
      <c r="H150">
        <v>33</v>
      </c>
      <c r="I150" s="2">
        <v>329.67</v>
      </c>
      <c r="J150" s="2">
        <v>165</v>
      </c>
    </row>
    <row r="151" spans="1:10" x14ac:dyDescent="0.35">
      <c r="A151">
        <v>2021</v>
      </c>
      <c r="B151">
        <v>8</v>
      </c>
      <c r="C151" t="s">
        <v>57</v>
      </c>
      <c r="D151" t="s">
        <v>48</v>
      </c>
      <c r="E151" t="s">
        <v>3</v>
      </c>
      <c r="F151" t="s">
        <v>10</v>
      </c>
      <c r="G151" t="s">
        <v>7</v>
      </c>
      <c r="H151">
        <v>61</v>
      </c>
      <c r="I151" s="2">
        <v>1219.3899999999999</v>
      </c>
      <c r="J151" s="2">
        <v>304.99999999999989</v>
      </c>
    </row>
    <row r="152" spans="1:10" x14ac:dyDescent="0.35">
      <c r="A152">
        <v>2021</v>
      </c>
      <c r="B152">
        <v>8</v>
      </c>
      <c r="C152" t="s">
        <v>57</v>
      </c>
      <c r="D152" t="s">
        <v>48</v>
      </c>
      <c r="E152" t="s">
        <v>3</v>
      </c>
      <c r="F152" t="s">
        <v>27</v>
      </c>
      <c r="G152" t="s">
        <v>12</v>
      </c>
      <c r="H152">
        <v>341</v>
      </c>
      <c r="I152" s="2">
        <v>1019.59</v>
      </c>
      <c r="J152" s="2">
        <v>341.00000000000006</v>
      </c>
    </row>
    <row r="153" spans="1:10" x14ac:dyDescent="0.35">
      <c r="A153">
        <v>2021</v>
      </c>
      <c r="B153">
        <v>8</v>
      </c>
      <c r="C153" t="s">
        <v>57</v>
      </c>
      <c r="D153" t="s">
        <v>48</v>
      </c>
      <c r="E153" t="s">
        <v>3</v>
      </c>
      <c r="F153" t="s">
        <v>37</v>
      </c>
      <c r="G153" t="s">
        <v>12</v>
      </c>
      <c r="H153">
        <v>27</v>
      </c>
      <c r="I153" s="2">
        <v>674.7299999999999</v>
      </c>
      <c r="J153" s="2">
        <v>108</v>
      </c>
    </row>
    <row r="154" spans="1:10" x14ac:dyDescent="0.35">
      <c r="A154">
        <v>2021</v>
      </c>
      <c r="B154">
        <v>8</v>
      </c>
      <c r="C154" t="s">
        <v>57</v>
      </c>
      <c r="D154" t="s">
        <v>48</v>
      </c>
      <c r="E154" t="s">
        <v>3</v>
      </c>
      <c r="F154" t="s">
        <v>11</v>
      </c>
      <c r="G154" t="s">
        <v>12</v>
      </c>
      <c r="H154">
        <v>77</v>
      </c>
      <c r="I154" s="2">
        <v>384.23</v>
      </c>
      <c r="J154" s="2">
        <v>77</v>
      </c>
    </row>
    <row r="155" spans="1:10" x14ac:dyDescent="0.35">
      <c r="A155">
        <v>2021</v>
      </c>
      <c r="B155">
        <v>8</v>
      </c>
      <c r="C155" t="s">
        <v>57</v>
      </c>
      <c r="D155" t="s">
        <v>48</v>
      </c>
      <c r="E155" t="s">
        <v>3</v>
      </c>
      <c r="F155" t="s">
        <v>45</v>
      </c>
      <c r="G155" t="s">
        <v>12</v>
      </c>
      <c r="H155">
        <v>22</v>
      </c>
      <c r="I155" s="2">
        <v>241.78</v>
      </c>
      <c r="J155" s="2">
        <v>154</v>
      </c>
    </row>
    <row r="156" spans="1:10" x14ac:dyDescent="0.35">
      <c r="A156">
        <v>2021</v>
      </c>
      <c r="B156">
        <v>8</v>
      </c>
      <c r="C156" t="s">
        <v>57</v>
      </c>
      <c r="D156" t="s">
        <v>48</v>
      </c>
      <c r="E156" t="s">
        <v>3</v>
      </c>
      <c r="F156" t="s">
        <v>39</v>
      </c>
      <c r="G156" t="s">
        <v>14</v>
      </c>
      <c r="H156">
        <v>42</v>
      </c>
      <c r="I156" s="2">
        <v>839.57999999999993</v>
      </c>
      <c r="J156" s="2">
        <v>461.99999999999994</v>
      </c>
    </row>
    <row r="157" spans="1:10" x14ac:dyDescent="0.35">
      <c r="A157">
        <v>2021</v>
      </c>
      <c r="B157">
        <v>8</v>
      </c>
      <c r="C157" t="s">
        <v>57</v>
      </c>
      <c r="D157" t="s">
        <v>48</v>
      </c>
      <c r="E157" t="s">
        <v>3</v>
      </c>
      <c r="F157" t="s">
        <v>26</v>
      </c>
      <c r="G157" t="s">
        <v>9</v>
      </c>
      <c r="H157">
        <v>71</v>
      </c>
      <c r="I157" s="2">
        <v>1419.29</v>
      </c>
      <c r="J157" s="2">
        <v>142</v>
      </c>
    </row>
    <row r="158" spans="1:10" x14ac:dyDescent="0.35">
      <c r="A158">
        <v>2021</v>
      </c>
      <c r="B158">
        <v>8</v>
      </c>
      <c r="C158" t="s">
        <v>57</v>
      </c>
      <c r="D158" t="s">
        <v>48</v>
      </c>
      <c r="E158" t="s">
        <v>3</v>
      </c>
      <c r="F158" t="s">
        <v>6</v>
      </c>
      <c r="G158" t="s">
        <v>7</v>
      </c>
      <c r="H158">
        <v>102</v>
      </c>
      <c r="I158" s="2">
        <v>916.98</v>
      </c>
      <c r="J158" s="2">
        <v>102</v>
      </c>
    </row>
    <row r="159" spans="1:10" x14ac:dyDescent="0.35">
      <c r="A159">
        <v>2021</v>
      </c>
      <c r="B159">
        <v>8</v>
      </c>
      <c r="C159" t="s">
        <v>57</v>
      </c>
      <c r="D159" t="s">
        <v>48</v>
      </c>
      <c r="E159" t="s">
        <v>3</v>
      </c>
      <c r="F159" t="s">
        <v>16</v>
      </c>
      <c r="G159" t="s">
        <v>14</v>
      </c>
      <c r="H159">
        <v>6</v>
      </c>
      <c r="I159" s="2">
        <v>77.94</v>
      </c>
      <c r="J159" s="2">
        <v>12</v>
      </c>
    </row>
    <row r="160" spans="1:10" x14ac:dyDescent="0.35">
      <c r="A160">
        <v>2021</v>
      </c>
      <c r="B160">
        <v>8</v>
      </c>
      <c r="C160" t="s">
        <v>60</v>
      </c>
      <c r="D160" t="s">
        <v>5</v>
      </c>
      <c r="E160" t="s">
        <v>3</v>
      </c>
      <c r="F160" t="s">
        <v>13</v>
      </c>
      <c r="G160" t="s">
        <v>14</v>
      </c>
      <c r="H160">
        <v>14</v>
      </c>
      <c r="I160" s="2">
        <v>223.86</v>
      </c>
      <c r="J160" s="2">
        <v>84</v>
      </c>
    </row>
    <row r="161" spans="1:10" x14ac:dyDescent="0.35">
      <c r="A161">
        <v>2021</v>
      </c>
      <c r="B161">
        <v>8</v>
      </c>
      <c r="C161" t="s">
        <v>60</v>
      </c>
      <c r="D161" t="s">
        <v>5</v>
      </c>
      <c r="E161" t="s">
        <v>3</v>
      </c>
      <c r="F161" t="s">
        <v>24</v>
      </c>
      <c r="G161" t="s">
        <v>14</v>
      </c>
      <c r="H161">
        <v>21</v>
      </c>
      <c r="I161" s="2">
        <v>272.79000000000002</v>
      </c>
      <c r="J161" s="2">
        <v>63</v>
      </c>
    </row>
    <row r="162" spans="1:10" x14ac:dyDescent="0.35">
      <c r="A162">
        <v>2021</v>
      </c>
      <c r="B162">
        <v>8</v>
      </c>
      <c r="C162" t="s">
        <v>60</v>
      </c>
      <c r="D162" t="s">
        <v>5</v>
      </c>
      <c r="E162" t="s">
        <v>3</v>
      </c>
      <c r="F162" t="s">
        <v>34</v>
      </c>
      <c r="G162" t="s">
        <v>12</v>
      </c>
      <c r="H162">
        <v>51</v>
      </c>
      <c r="I162" s="2">
        <v>203.49</v>
      </c>
      <c r="J162" s="2">
        <v>102</v>
      </c>
    </row>
    <row r="163" spans="1:10" x14ac:dyDescent="0.35">
      <c r="A163">
        <v>2021</v>
      </c>
      <c r="B163">
        <v>8</v>
      </c>
      <c r="C163" t="s">
        <v>60</v>
      </c>
      <c r="D163" t="s">
        <v>5</v>
      </c>
      <c r="E163" t="s">
        <v>3</v>
      </c>
      <c r="F163" t="s">
        <v>18</v>
      </c>
      <c r="G163" t="s">
        <v>9</v>
      </c>
      <c r="H163">
        <v>1</v>
      </c>
      <c r="I163" s="2">
        <v>12.99</v>
      </c>
      <c r="J163" s="2">
        <v>3</v>
      </c>
    </row>
    <row r="164" spans="1:10" x14ac:dyDescent="0.35">
      <c r="A164">
        <v>2021</v>
      </c>
      <c r="B164">
        <v>8</v>
      </c>
      <c r="C164" t="s">
        <v>60</v>
      </c>
      <c r="D164" t="s">
        <v>5</v>
      </c>
      <c r="E164" t="s">
        <v>3</v>
      </c>
      <c r="F164" t="s">
        <v>20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35">
      <c r="A165">
        <v>2021</v>
      </c>
      <c r="B165">
        <v>8</v>
      </c>
      <c r="C165" t="s">
        <v>60</v>
      </c>
      <c r="D165" t="s">
        <v>5</v>
      </c>
      <c r="E165" t="s">
        <v>3</v>
      </c>
      <c r="F165" t="s">
        <v>8</v>
      </c>
      <c r="G165" t="s">
        <v>9</v>
      </c>
      <c r="H165">
        <v>134</v>
      </c>
      <c r="I165" s="2">
        <v>936.66000000000008</v>
      </c>
      <c r="J165" s="2">
        <v>402</v>
      </c>
    </row>
    <row r="166" spans="1:10" x14ac:dyDescent="0.35">
      <c r="A166">
        <v>2021</v>
      </c>
      <c r="B166">
        <v>8</v>
      </c>
      <c r="C166" t="s">
        <v>60</v>
      </c>
      <c r="D166" t="s">
        <v>5</v>
      </c>
      <c r="E166" t="s">
        <v>3</v>
      </c>
      <c r="F166" t="s">
        <v>17</v>
      </c>
      <c r="G166" t="s">
        <v>14</v>
      </c>
      <c r="H166">
        <v>90</v>
      </c>
      <c r="I166" s="2">
        <v>989.1</v>
      </c>
      <c r="J166" s="2">
        <v>90</v>
      </c>
    </row>
    <row r="167" spans="1:10" x14ac:dyDescent="0.35">
      <c r="A167">
        <v>2021</v>
      </c>
      <c r="B167">
        <v>8</v>
      </c>
      <c r="C167" t="s">
        <v>60</v>
      </c>
      <c r="D167" t="s">
        <v>5</v>
      </c>
      <c r="E167" t="s">
        <v>3</v>
      </c>
      <c r="F167" t="s">
        <v>28</v>
      </c>
      <c r="G167" t="s">
        <v>14</v>
      </c>
      <c r="H167">
        <v>36</v>
      </c>
      <c r="I167" s="2">
        <v>539.64</v>
      </c>
      <c r="J167" s="2">
        <v>144</v>
      </c>
    </row>
    <row r="168" spans="1:10" x14ac:dyDescent="0.35">
      <c r="A168">
        <v>2021</v>
      </c>
      <c r="B168">
        <v>8</v>
      </c>
      <c r="C168" t="s">
        <v>60</v>
      </c>
      <c r="D168" t="s">
        <v>5</v>
      </c>
      <c r="E168" t="s">
        <v>3</v>
      </c>
      <c r="F168" t="s">
        <v>43</v>
      </c>
      <c r="G168" t="s">
        <v>12</v>
      </c>
      <c r="H168">
        <v>37</v>
      </c>
      <c r="I168" s="2">
        <v>776.63</v>
      </c>
      <c r="J168" s="2">
        <v>369.99999999999994</v>
      </c>
    </row>
    <row r="169" spans="1:10" x14ac:dyDescent="0.35">
      <c r="A169">
        <v>2021</v>
      </c>
      <c r="B169">
        <v>8</v>
      </c>
      <c r="C169" t="s">
        <v>60</v>
      </c>
      <c r="D169" t="s">
        <v>5</v>
      </c>
      <c r="E169" t="s">
        <v>3</v>
      </c>
      <c r="F169" t="s">
        <v>44</v>
      </c>
      <c r="G169" t="s">
        <v>7</v>
      </c>
      <c r="H169">
        <v>16</v>
      </c>
      <c r="I169" s="2">
        <v>191.84</v>
      </c>
      <c r="J169" s="2">
        <v>48</v>
      </c>
    </row>
    <row r="170" spans="1:10" x14ac:dyDescent="0.35">
      <c r="A170">
        <v>2021</v>
      </c>
      <c r="B170">
        <v>8</v>
      </c>
      <c r="C170" t="s">
        <v>60</v>
      </c>
      <c r="D170" t="s">
        <v>5</v>
      </c>
      <c r="E170" t="s">
        <v>3</v>
      </c>
      <c r="F170" t="s">
        <v>40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35">
      <c r="A171">
        <v>2021</v>
      </c>
      <c r="B171">
        <v>8</v>
      </c>
      <c r="C171" t="s">
        <v>60</v>
      </c>
      <c r="D171" t="s">
        <v>5</v>
      </c>
      <c r="E171" t="s">
        <v>3</v>
      </c>
      <c r="F171" t="s">
        <v>32</v>
      </c>
      <c r="G171" t="s">
        <v>9</v>
      </c>
      <c r="H171">
        <v>105</v>
      </c>
      <c r="I171" s="2">
        <v>1153.95</v>
      </c>
      <c r="J171" s="2">
        <v>525</v>
      </c>
    </row>
    <row r="172" spans="1:10" x14ac:dyDescent="0.35">
      <c r="A172">
        <v>2021</v>
      </c>
      <c r="B172">
        <v>8</v>
      </c>
      <c r="C172" t="s">
        <v>60</v>
      </c>
      <c r="D172" t="s">
        <v>5</v>
      </c>
      <c r="E172" t="s">
        <v>3</v>
      </c>
      <c r="F172" t="s">
        <v>35</v>
      </c>
      <c r="G172" t="s">
        <v>14</v>
      </c>
      <c r="H172">
        <v>20</v>
      </c>
      <c r="I172" s="2">
        <v>119.80000000000001</v>
      </c>
      <c r="J172" s="2">
        <v>40</v>
      </c>
    </row>
    <row r="173" spans="1:10" x14ac:dyDescent="0.35">
      <c r="A173">
        <v>2021</v>
      </c>
      <c r="B173">
        <v>8</v>
      </c>
      <c r="C173" t="s">
        <v>60</v>
      </c>
      <c r="D173" t="s">
        <v>5</v>
      </c>
      <c r="E173" t="s">
        <v>3</v>
      </c>
      <c r="F173" t="s">
        <v>31</v>
      </c>
      <c r="G173" t="s">
        <v>12</v>
      </c>
      <c r="H173">
        <v>16</v>
      </c>
      <c r="I173" s="2">
        <v>319.83999999999997</v>
      </c>
      <c r="J173" s="2">
        <v>95.999999999999972</v>
      </c>
    </row>
    <row r="174" spans="1:10" x14ac:dyDescent="0.35">
      <c r="A174">
        <v>2021</v>
      </c>
      <c r="B174">
        <v>8</v>
      </c>
      <c r="C174" t="s">
        <v>60</v>
      </c>
      <c r="D174" t="s">
        <v>5</v>
      </c>
      <c r="E174" t="s">
        <v>3</v>
      </c>
      <c r="F174" t="s">
        <v>15</v>
      </c>
      <c r="G174" t="s">
        <v>14</v>
      </c>
      <c r="H174">
        <v>63</v>
      </c>
      <c r="I174" s="2">
        <v>2519.3700000000003</v>
      </c>
      <c r="J174" s="2">
        <v>315</v>
      </c>
    </row>
    <row r="175" spans="1:10" x14ac:dyDescent="0.35">
      <c r="A175">
        <v>2021</v>
      </c>
      <c r="B175">
        <v>8</v>
      </c>
      <c r="C175" t="s">
        <v>60</v>
      </c>
      <c r="D175" t="s">
        <v>5</v>
      </c>
      <c r="E175" t="s">
        <v>3</v>
      </c>
      <c r="F175" t="s">
        <v>42</v>
      </c>
      <c r="G175" t="s">
        <v>12</v>
      </c>
      <c r="H175">
        <v>28</v>
      </c>
      <c r="I175" s="2">
        <v>447.72</v>
      </c>
      <c r="J175" s="2">
        <v>56</v>
      </c>
    </row>
    <row r="176" spans="1:10" x14ac:dyDescent="0.35">
      <c r="A176">
        <v>2021</v>
      </c>
      <c r="B176">
        <v>8</v>
      </c>
      <c r="C176" t="s">
        <v>60</v>
      </c>
      <c r="D176" t="s">
        <v>5</v>
      </c>
      <c r="E176" t="s">
        <v>3</v>
      </c>
      <c r="F176" t="s">
        <v>22</v>
      </c>
      <c r="G176" t="s">
        <v>7</v>
      </c>
      <c r="H176">
        <v>12</v>
      </c>
      <c r="I176" s="2">
        <v>119.88</v>
      </c>
      <c r="J176" s="2">
        <v>36</v>
      </c>
    </row>
    <row r="177" spans="1:10" x14ac:dyDescent="0.35">
      <c r="A177">
        <v>2021</v>
      </c>
      <c r="B177">
        <v>8</v>
      </c>
      <c r="C177" t="s">
        <v>60</v>
      </c>
      <c r="D177" t="s">
        <v>5</v>
      </c>
      <c r="E177" t="s">
        <v>3</v>
      </c>
      <c r="F177" t="s">
        <v>41</v>
      </c>
      <c r="G177" t="s">
        <v>14</v>
      </c>
      <c r="H177">
        <v>44</v>
      </c>
      <c r="I177" s="2">
        <v>439.56</v>
      </c>
      <c r="J177" s="2">
        <v>220</v>
      </c>
    </row>
    <row r="178" spans="1:10" x14ac:dyDescent="0.35">
      <c r="A178">
        <v>2021</v>
      </c>
      <c r="B178">
        <v>8</v>
      </c>
      <c r="C178" t="s">
        <v>60</v>
      </c>
      <c r="D178" t="s">
        <v>5</v>
      </c>
      <c r="E178" t="s">
        <v>3</v>
      </c>
      <c r="F178" t="s">
        <v>10</v>
      </c>
      <c r="G178" t="s">
        <v>7</v>
      </c>
      <c r="H178">
        <v>20</v>
      </c>
      <c r="I178" s="2">
        <v>399.79999999999995</v>
      </c>
      <c r="J178" s="2">
        <v>99.999999999999972</v>
      </c>
    </row>
    <row r="179" spans="1:10" x14ac:dyDescent="0.35">
      <c r="A179">
        <v>2021</v>
      </c>
      <c r="B179">
        <v>8</v>
      </c>
      <c r="C179" t="s">
        <v>60</v>
      </c>
      <c r="D179" t="s">
        <v>5</v>
      </c>
      <c r="E179" t="s">
        <v>3</v>
      </c>
      <c r="F179" t="s">
        <v>27</v>
      </c>
      <c r="G179" t="s">
        <v>12</v>
      </c>
      <c r="H179">
        <v>115</v>
      </c>
      <c r="I179" s="2">
        <v>343.85</v>
      </c>
      <c r="J179" s="2">
        <v>115.00000000000003</v>
      </c>
    </row>
    <row r="180" spans="1:10" x14ac:dyDescent="0.35">
      <c r="A180">
        <v>2021</v>
      </c>
      <c r="B180">
        <v>8</v>
      </c>
      <c r="C180" t="s">
        <v>60</v>
      </c>
      <c r="D180" t="s">
        <v>5</v>
      </c>
      <c r="E180" t="s">
        <v>3</v>
      </c>
      <c r="F180" t="s">
        <v>37</v>
      </c>
      <c r="G180" t="s">
        <v>12</v>
      </c>
      <c r="H180">
        <v>5</v>
      </c>
      <c r="I180" s="2">
        <v>124.94999999999999</v>
      </c>
      <c r="J180" s="2">
        <v>20</v>
      </c>
    </row>
    <row r="181" spans="1:10" x14ac:dyDescent="0.35">
      <c r="A181">
        <v>2021</v>
      </c>
      <c r="B181">
        <v>8</v>
      </c>
      <c r="C181" t="s">
        <v>60</v>
      </c>
      <c r="D181" t="s">
        <v>5</v>
      </c>
      <c r="E181" t="s">
        <v>3</v>
      </c>
      <c r="F181" t="s">
        <v>11</v>
      </c>
      <c r="G181" t="s">
        <v>12</v>
      </c>
      <c r="H181">
        <v>37</v>
      </c>
      <c r="I181" s="2">
        <v>184.63</v>
      </c>
      <c r="J181" s="2">
        <v>37</v>
      </c>
    </row>
    <row r="182" spans="1:10" x14ac:dyDescent="0.35">
      <c r="A182">
        <v>2021</v>
      </c>
      <c r="B182">
        <v>8</v>
      </c>
      <c r="C182" t="s">
        <v>60</v>
      </c>
      <c r="D182" t="s">
        <v>5</v>
      </c>
      <c r="E182" t="s">
        <v>3</v>
      </c>
      <c r="F182" t="s">
        <v>45</v>
      </c>
      <c r="G182" t="s">
        <v>12</v>
      </c>
      <c r="H182">
        <v>27</v>
      </c>
      <c r="I182" s="2">
        <v>296.73</v>
      </c>
      <c r="J182" s="2">
        <v>189</v>
      </c>
    </row>
    <row r="183" spans="1:10" x14ac:dyDescent="0.35">
      <c r="A183">
        <v>2021</v>
      </c>
      <c r="B183">
        <v>8</v>
      </c>
      <c r="C183" t="s">
        <v>60</v>
      </c>
      <c r="D183" t="s">
        <v>5</v>
      </c>
      <c r="E183" t="s">
        <v>3</v>
      </c>
      <c r="F183" t="s">
        <v>26</v>
      </c>
      <c r="G183" t="s">
        <v>9</v>
      </c>
      <c r="H183">
        <v>11</v>
      </c>
      <c r="I183" s="2">
        <v>219.89</v>
      </c>
      <c r="J183" s="2">
        <v>22</v>
      </c>
    </row>
    <row r="184" spans="1:10" x14ac:dyDescent="0.35">
      <c r="A184">
        <v>2021</v>
      </c>
      <c r="B184">
        <v>8</v>
      </c>
      <c r="C184" t="s">
        <v>60</v>
      </c>
      <c r="D184" t="s">
        <v>5</v>
      </c>
      <c r="E184" t="s">
        <v>3</v>
      </c>
      <c r="F184" t="s">
        <v>6</v>
      </c>
      <c r="G184" t="s">
        <v>7</v>
      </c>
      <c r="H184">
        <v>44</v>
      </c>
      <c r="I184" s="2">
        <v>395.56</v>
      </c>
      <c r="J184" s="2">
        <v>44</v>
      </c>
    </row>
    <row r="185" spans="1:10" x14ac:dyDescent="0.35">
      <c r="A185">
        <v>2021</v>
      </c>
      <c r="B185">
        <v>8</v>
      </c>
      <c r="C185" t="s">
        <v>60</v>
      </c>
      <c r="D185" t="s">
        <v>5</v>
      </c>
      <c r="E185" t="s">
        <v>3</v>
      </c>
      <c r="F185" t="s">
        <v>23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35">
      <c r="A186">
        <v>2021</v>
      </c>
      <c r="B186">
        <v>8</v>
      </c>
      <c r="C186" t="s">
        <v>53</v>
      </c>
      <c r="D186" t="s">
        <v>48</v>
      </c>
      <c r="E186" t="s">
        <v>2</v>
      </c>
      <c r="F186" t="s">
        <v>13</v>
      </c>
      <c r="G186" t="s">
        <v>14</v>
      </c>
      <c r="H186">
        <v>112</v>
      </c>
      <c r="I186" s="2">
        <v>1790.88</v>
      </c>
      <c r="J186" s="2">
        <v>672</v>
      </c>
    </row>
    <row r="187" spans="1:10" x14ac:dyDescent="0.35">
      <c r="A187">
        <v>2021</v>
      </c>
      <c r="B187">
        <v>8</v>
      </c>
      <c r="C187" t="s">
        <v>53</v>
      </c>
      <c r="D187" t="s">
        <v>48</v>
      </c>
      <c r="E187" t="s">
        <v>2</v>
      </c>
      <c r="F187" t="s">
        <v>24</v>
      </c>
      <c r="G187" t="s">
        <v>14</v>
      </c>
      <c r="H187">
        <v>70</v>
      </c>
      <c r="I187" s="2">
        <v>909.30000000000007</v>
      </c>
      <c r="J187" s="2">
        <v>210</v>
      </c>
    </row>
    <row r="188" spans="1:10" x14ac:dyDescent="0.35">
      <c r="A188">
        <v>2021</v>
      </c>
      <c r="B188">
        <v>8</v>
      </c>
      <c r="C188" t="s">
        <v>53</v>
      </c>
      <c r="D188" t="s">
        <v>48</v>
      </c>
      <c r="E188" t="s">
        <v>2</v>
      </c>
      <c r="F188" t="s">
        <v>34</v>
      </c>
      <c r="G188" t="s">
        <v>12</v>
      </c>
      <c r="H188">
        <v>81</v>
      </c>
      <c r="I188" s="2">
        <v>323.19</v>
      </c>
      <c r="J188" s="2">
        <v>162</v>
      </c>
    </row>
    <row r="189" spans="1:10" x14ac:dyDescent="0.35">
      <c r="A189">
        <v>2021</v>
      </c>
      <c r="B189">
        <v>8</v>
      </c>
      <c r="C189" t="s">
        <v>53</v>
      </c>
      <c r="D189" t="s">
        <v>48</v>
      </c>
      <c r="E189" t="s">
        <v>2</v>
      </c>
      <c r="F189" t="s">
        <v>18</v>
      </c>
      <c r="G189" t="s">
        <v>9</v>
      </c>
      <c r="H189">
        <v>10</v>
      </c>
      <c r="I189" s="2">
        <v>129.9</v>
      </c>
      <c r="J189" s="2">
        <v>30</v>
      </c>
    </row>
    <row r="190" spans="1:10" x14ac:dyDescent="0.35">
      <c r="A190">
        <v>2021</v>
      </c>
      <c r="B190">
        <v>8</v>
      </c>
      <c r="C190" t="s">
        <v>53</v>
      </c>
      <c r="D190" t="s">
        <v>48</v>
      </c>
      <c r="E190" t="s">
        <v>2</v>
      </c>
      <c r="F190" t="s">
        <v>20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35">
      <c r="A191">
        <v>2021</v>
      </c>
      <c r="B191">
        <v>8</v>
      </c>
      <c r="C191" t="s">
        <v>53</v>
      </c>
      <c r="D191" t="s">
        <v>48</v>
      </c>
      <c r="E191" t="s">
        <v>2</v>
      </c>
      <c r="F191" t="s">
        <v>25</v>
      </c>
      <c r="G191" t="s">
        <v>7</v>
      </c>
      <c r="H191">
        <v>27</v>
      </c>
      <c r="I191" s="2">
        <v>431.73</v>
      </c>
      <c r="J191" s="2">
        <v>108</v>
      </c>
    </row>
    <row r="192" spans="1:10" x14ac:dyDescent="0.35">
      <c r="A192">
        <v>2021</v>
      </c>
      <c r="B192">
        <v>8</v>
      </c>
      <c r="C192" t="s">
        <v>53</v>
      </c>
      <c r="D192" t="s">
        <v>48</v>
      </c>
      <c r="E192" t="s">
        <v>2</v>
      </c>
      <c r="F192" t="s">
        <v>8</v>
      </c>
      <c r="G192" t="s">
        <v>9</v>
      </c>
      <c r="H192">
        <v>19</v>
      </c>
      <c r="I192" s="2">
        <v>132.81</v>
      </c>
      <c r="J192" s="2">
        <v>57</v>
      </c>
    </row>
    <row r="193" spans="1:10" x14ac:dyDescent="0.35">
      <c r="A193">
        <v>2021</v>
      </c>
      <c r="B193">
        <v>8</v>
      </c>
      <c r="C193" t="s">
        <v>53</v>
      </c>
      <c r="D193" t="s">
        <v>48</v>
      </c>
      <c r="E193" t="s">
        <v>2</v>
      </c>
      <c r="F193" t="s">
        <v>17</v>
      </c>
      <c r="G193" t="s">
        <v>14</v>
      </c>
      <c r="H193">
        <v>44</v>
      </c>
      <c r="I193" s="2">
        <v>483.56</v>
      </c>
      <c r="J193" s="2">
        <v>44</v>
      </c>
    </row>
    <row r="194" spans="1:10" x14ac:dyDescent="0.35">
      <c r="A194">
        <v>2021</v>
      </c>
      <c r="B194">
        <v>8</v>
      </c>
      <c r="C194" t="s">
        <v>53</v>
      </c>
      <c r="D194" t="s">
        <v>48</v>
      </c>
      <c r="E194" t="s">
        <v>2</v>
      </c>
      <c r="F194" t="s">
        <v>28</v>
      </c>
      <c r="G194" t="s">
        <v>14</v>
      </c>
      <c r="H194">
        <v>47</v>
      </c>
      <c r="I194" s="2">
        <v>704.53</v>
      </c>
      <c r="J194" s="2">
        <v>188</v>
      </c>
    </row>
    <row r="195" spans="1:10" x14ac:dyDescent="0.35">
      <c r="A195">
        <v>2021</v>
      </c>
      <c r="B195">
        <v>8</v>
      </c>
      <c r="C195" t="s">
        <v>53</v>
      </c>
      <c r="D195" t="s">
        <v>48</v>
      </c>
      <c r="E195" t="s">
        <v>2</v>
      </c>
      <c r="F195" t="s">
        <v>43</v>
      </c>
      <c r="G195" t="s">
        <v>12</v>
      </c>
      <c r="H195">
        <v>57</v>
      </c>
      <c r="I195" s="2">
        <v>1196.4299999999998</v>
      </c>
      <c r="J195" s="2">
        <v>569.99999999999989</v>
      </c>
    </row>
    <row r="196" spans="1:10" x14ac:dyDescent="0.35">
      <c r="A196">
        <v>2021</v>
      </c>
      <c r="B196">
        <v>8</v>
      </c>
      <c r="C196" t="s">
        <v>53</v>
      </c>
      <c r="D196" t="s">
        <v>48</v>
      </c>
      <c r="E196" t="s">
        <v>2</v>
      </c>
      <c r="F196" t="s">
        <v>44</v>
      </c>
      <c r="G196" t="s">
        <v>7</v>
      </c>
      <c r="H196">
        <v>16</v>
      </c>
      <c r="I196" s="2">
        <v>191.84</v>
      </c>
      <c r="J196" s="2">
        <v>48</v>
      </c>
    </row>
    <row r="197" spans="1:10" x14ac:dyDescent="0.35">
      <c r="A197">
        <v>2021</v>
      </c>
      <c r="B197">
        <v>8</v>
      </c>
      <c r="C197" t="s">
        <v>53</v>
      </c>
      <c r="D197" t="s">
        <v>48</v>
      </c>
      <c r="E197" t="s">
        <v>2</v>
      </c>
      <c r="F197" t="s">
        <v>40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35">
      <c r="A198">
        <v>2021</v>
      </c>
      <c r="B198">
        <v>8</v>
      </c>
      <c r="C198" t="s">
        <v>53</v>
      </c>
      <c r="D198" t="s">
        <v>48</v>
      </c>
      <c r="E198" t="s">
        <v>2</v>
      </c>
      <c r="F198" t="s">
        <v>32</v>
      </c>
      <c r="G198" t="s">
        <v>9</v>
      </c>
      <c r="H198">
        <v>14</v>
      </c>
      <c r="I198" s="2">
        <v>153.86000000000001</v>
      </c>
      <c r="J198" s="2">
        <v>70</v>
      </c>
    </row>
    <row r="199" spans="1:10" x14ac:dyDescent="0.35">
      <c r="A199">
        <v>2021</v>
      </c>
      <c r="B199">
        <v>8</v>
      </c>
      <c r="C199" t="s">
        <v>53</v>
      </c>
      <c r="D199" t="s">
        <v>48</v>
      </c>
      <c r="E199" t="s">
        <v>2</v>
      </c>
      <c r="F199" t="s">
        <v>35</v>
      </c>
      <c r="G199" t="s">
        <v>14</v>
      </c>
      <c r="H199">
        <v>10</v>
      </c>
      <c r="I199" s="2">
        <v>59.900000000000006</v>
      </c>
      <c r="J199" s="2">
        <v>20</v>
      </c>
    </row>
    <row r="200" spans="1:10" x14ac:dyDescent="0.35">
      <c r="A200">
        <v>2021</v>
      </c>
      <c r="B200">
        <v>8</v>
      </c>
      <c r="C200" t="s">
        <v>53</v>
      </c>
      <c r="D200" t="s">
        <v>48</v>
      </c>
      <c r="E200" t="s">
        <v>2</v>
      </c>
      <c r="F200" t="s">
        <v>38</v>
      </c>
      <c r="G200" t="s">
        <v>9</v>
      </c>
      <c r="H200">
        <v>3</v>
      </c>
      <c r="I200" s="2">
        <v>29.97</v>
      </c>
      <c r="J200" s="2">
        <v>21</v>
      </c>
    </row>
    <row r="201" spans="1:10" x14ac:dyDescent="0.35">
      <c r="A201">
        <v>2021</v>
      </c>
      <c r="B201">
        <v>8</v>
      </c>
      <c r="C201" t="s">
        <v>53</v>
      </c>
      <c r="D201" t="s">
        <v>48</v>
      </c>
      <c r="E201" t="s">
        <v>2</v>
      </c>
      <c r="F201" t="s">
        <v>31</v>
      </c>
      <c r="G201" t="s">
        <v>12</v>
      </c>
      <c r="H201">
        <v>56</v>
      </c>
      <c r="I201" s="2">
        <v>1119.4399999999998</v>
      </c>
      <c r="J201" s="2">
        <v>335.99999999999989</v>
      </c>
    </row>
    <row r="202" spans="1:10" x14ac:dyDescent="0.35">
      <c r="A202">
        <v>2021</v>
      </c>
      <c r="B202">
        <v>8</v>
      </c>
      <c r="C202" t="s">
        <v>53</v>
      </c>
      <c r="D202" t="s">
        <v>48</v>
      </c>
      <c r="E202" t="s">
        <v>2</v>
      </c>
      <c r="F202" t="s">
        <v>15</v>
      </c>
      <c r="G202" t="s">
        <v>14</v>
      </c>
      <c r="H202">
        <v>76</v>
      </c>
      <c r="I202" s="2">
        <v>3039.2400000000002</v>
      </c>
      <c r="J202" s="2">
        <v>380</v>
      </c>
    </row>
    <row r="203" spans="1:10" x14ac:dyDescent="0.35">
      <c r="A203">
        <v>2021</v>
      </c>
      <c r="B203">
        <v>8</v>
      </c>
      <c r="C203" t="s">
        <v>53</v>
      </c>
      <c r="D203" t="s">
        <v>48</v>
      </c>
      <c r="E203" t="s">
        <v>2</v>
      </c>
      <c r="F203" t="s">
        <v>42</v>
      </c>
      <c r="G203" t="s">
        <v>12</v>
      </c>
      <c r="H203">
        <v>70</v>
      </c>
      <c r="I203" s="2">
        <v>1119.3</v>
      </c>
      <c r="J203" s="2">
        <v>140</v>
      </c>
    </row>
    <row r="204" spans="1:10" x14ac:dyDescent="0.35">
      <c r="A204">
        <v>2021</v>
      </c>
      <c r="B204">
        <v>8</v>
      </c>
      <c r="C204" t="s">
        <v>53</v>
      </c>
      <c r="D204" t="s">
        <v>48</v>
      </c>
      <c r="E204" t="s">
        <v>2</v>
      </c>
      <c r="F204" t="s">
        <v>22</v>
      </c>
      <c r="G204" t="s">
        <v>7</v>
      </c>
      <c r="H204">
        <v>108</v>
      </c>
      <c r="I204" s="2">
        <v>1078.92</v>
      </c>
      <c r="J204" s="2">
        <v>324</v>
      </c>
    </row>
    <row r="205" spans="1:10" x14ac:dyDescent="0.35">
      <c r="A205">
        <v>2021</v>
      </c>
      <c r="B205">
        <v>8</v>
      </c>
      <c r="C205" t="s">
        <v>53</v>
      </c>
      <c r="D205" t="s">
        <v>48</v>
      </c>
      <c r="E205" t="s">
        <v>2</v>
      </c>
      <c r="F205" t="s">
        <v>19</v>
      </c>
      <c r="G205" t="s">
        <v>9</v>
      </c>
      <c r="H205">
        <v>6</v>
      </c>
      <c r="I205" s="2">
        <v>119.94</v>
      </c>
      <c r="J205" s="2">
        <v>35.999999999999986</v>
      </c>
    </row>
    <row r="206" spans="1:10" x14ac:dyDescent="0.35">
      <c r="A206">
        <v>2021</v>
      </c>
      <c r="B206">
        <v>8</v>
      </c>
      <c r="C206" t="s">
        <v>53</v>
      </c>
      <c r="D206" t="s">
        <v>48</v>
      </c>
      <c r="E206" t="s">
        <v>2</v>
      </c>
      <c r="F206" t="s">
        <v>10</v>
      </c>
      <c r="G206" t="s">
        <v>7</v>
      </c>
      <c r="H206">
        <v>23</v>
      </c>
      <c r="I206" s="2">
        <v>459.77</v>
      </c>
      <c r="J206" s="2">
        <v>114.99999999999996</v>
      </c>
    </row>
    <row r="207" spans="1:10" x14ac:dyDescent="0.35">
      <c r="A207">
        <v>2021</v>
      </c>
      <c r="B207">
        <v>8</v>
      </c>
      <c r="C207" t="s">
        <v>53</v>
      </c>
      <c r="D207" t="s">
        <v>48</v>
      </c>
      <c r="E207" t="s">
        <v>2</v>
      </c>
      <c r="F207" t="s">
        <v>27</v>
      </c>
      <c r="G207" t="s">
        <v>12</v>
      </c>
      <c r="H207">
        <v>107</v>
      </c>
      <c r="I207" s="2">
        <v>319.93</v>
      </c>
      <c r="J207" s="2">
        <v>107.00000000000003</v>
      </c>
    </row>
    <row r="208" spans="1:10" x14ac:dyDescent="0.35">
      <c r="A208">
        <v>2021</v>
      </c>
      <c r="B208">
        <v>8</v>
      </c>
      <c r="C208" t="s">
        <v>53</v>
      </c>
      <c r="D208" t="s">
        <v>48</v>
      </c>
      <c r="E208" t="s">
        <v>2</v>
      </c>
      <c r="F208" t="s">
        <v>37</v>
      </c>
      <c r="G208" t="s">
        <v>12</v>
      </c>
      <c r="H208">
        <v>1</v>
      </c>
      <c r="I208" s="2">
        <v>24.99</v>
      </c>
      <c r="J208" s="2">
        <v>4</v>
      </c>
    </row>
    <row r="209" spans="1:10" x14ac:dyDescent="0.35">
      <c r="A209">
        <v>2021</v>
      </c>
      <c r="B209">
        <v>8</v>
      </c>
      <c r="C209" t="s">
        <v>53</v>
      </c>
      <c r="D209" t="s">
        <v>48</v>
      </c>
      <c r="E209" t="s">
        <v>2</v>
      </c>
      <c r="F209" t="s">
        <v>45</v>
      </c>
      <c r="G209" t="s">
        <v>12</v>
      </c>
      <c r="H209">
        <v>27</v>
      </c>
      <c r="I209" s="2">
        <v>296.73</v>
      </c>
      <c r="J209" s="2">
        <v>189</v>
      </c>
    </row>
    <row r="210" spans="1:10" x14ac:dyDescent="0.35">
      <c r="A210">
        <v>2021</v>
      </c>
      <c r="B210">
        <v>8</v>
      </c>
      <c r="C210" t="s">
        <v>53</v>
      </c>
      <c r="D210" t="s">
        <v>48</v>
      </c>
      <c r="E210" t="s">
        <v>2</v>
      </c>
      <c r="F210" t="s">
        <v>39</v>
      </c>
      <c r="G210" t="s">
        <v>14</v>
      </c>
      <c r="H210">
        <v>8</v>
      </c>
      <c r="I210" s="2">
        <v>159.91999999999999</v>
      </c>
      <c r="J210" s="2">
        <v>87.999999999999986</v>
      </c>
    </row>
    <row r="211" spans="1:10" x14ac:dyDescent="0.35">
      <c r="A211">
        <v>2021</v>
      </c>
      <c r="B211">
        <v>8</v>
      </c>
      <c r="C211" t="s">
        <v>53</v>
      </c>
      <c r="D211" t="s">
        <v>48</v>
      </c>
      <c r="E211" t="s">
        <v>2</v>
      </c>
      <c r="F211" t="s">
        <v>26</v>
      </c>
      <c r="G211" t="s">
        <v>9</v>
      </c>
      <c r="H211">
        <v>21</v>
      </c>
      <c r="I211" s="2">
        <v>419.78999999999996</v>
      </c>
      <c r="J211" s="2">
        <v>42</v>
      </c>
    </row>
    <row r="212" spans="1:10" x14ac:dyDescent="0.35">
      <c r="A212">
        <v>2021</v>
      </c>
      <c r="B212">
        <v>8</v>
      </c>
      <c r="C212" t="s">
        <v>53</v>
      </c>
      <c r="D212" t="s">
        <v>48</v>
      </c>
      <c r="E212" t="s">
        <v>2</v>
      </c>
      <c r="F212" t="s">
        <v>6</v>
      </c>
      <c r="G212" t="s">
        <v>7</v>
      </c>
      <c r="H212">
        <v>16</v>
      </c>
      <c r="I212" s="2">
        <v>143.84</v>
      </c>
      <c r="J212" s="2">
        <v>16</v>
      </c>
    </row>
    <row r="213" spans="1:10" x14ac:dyDescent="0.35">
      <c r="A213">
        <v>2021</v>
      </c>
      <c r="B213">
        <v>8</v>
      </c>
      <c r="C213" t="s">
        <v>53</v>
      </c>
      <c r="D213" t="s">
        <v>48</v>
      </c>
      <c r="E213" t="s">
        <v>2</v>
      </c>
      <c r="F213" t="s">
        <v>36</v>
      </c>
      <c r="G213" t="s">
        <v>7</v>
      </c>
      <c r="H213">
        <v>3</v>
      </c>
      <c r="I213" s="2">
        <v>44.97</v>
      </c>
      <c r="J213" s="2">
        <v>9</v>
      </c>
    </row>
    <row r="214" spans="1:10" x14ac:dyDescent="0.35">
      <c r="A214">
        <v>2021</v>
      </c>
      <c r="B214">
        <v>8</v>
      </c>
      <c r="C214" t="s">
        <v>53</v>
      </c>
      <c r="D214" t="s">
        <v>48</v>
      </c>
      <c r="E214" t="s">
        <v>2</v>
      </c>
      <c r="F214" t="s">
        <v>16</v>
      </c>
      <c r="G214" t="s">
        <v>14</v>
      </c>
      <c r="H214">
        <v>27</v>
      </c>
      <c r="I214" s="2">
        <v>350.73</v>
      </c>
      <c r="J214" s="2">
        <v>54</v>
      </c>
    </row>
    <row r="215" spans="1:10" x14ac:dyDescent="0.35">
      <c r="A215">
        <v>2021</v>
      </c>
      <c r="B215">
        <v>8</v>
      </c>
      <c r="C215" t="s">
        <v>53</v>
      </c>
      <c r="D215" t="s">
        <v>48</v>
      </c>
      <c r="E215" t="s">
        <v>2</v>
      </c>
      <c r="F215" t="s">
        <v>23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35">
      <c r="A216">
        <v>2021</v>
      </c>
      <c r="B216">
        <v>8</v>
      </c>
      <c r="C216" t="s">
        <v>53</v>
      </c>
      <c r="D216" t="s">
        <v>48</v>
      </c>
      <c r="E216" t="s">
        <v>2</v>
      </c>
      <c r="F216" t="s">
        <v>29</v>
      </c>
      <c r="G216" t="s">
        <v>9</v>
      </c>
      <c r="H216">
        <v>17</v>
      </c>
      <c r="I216" s="2">
        <v>135.83000000000001</v>
      </c>
      <c r="J216" s="2">
        <v>68</v>
      </c>
    </row>
    <row r="217" spans="1:10" x14ac:dyDescent="0.35">
      <c r="A217">
        <v>2021</v>
      </c>
      <c r="B217">
        <v>8</v>
      </c>
      <c r="C217" t="s">
        <v>54</v>
      </c>
      <c r="D217" t="s">
        <v>48</v>
      </c>
      <c r="E217" t="s">
        <v>1</v>
      </c>
      <c r="F217" t="s">
        <v>13</v>
      </c>
      <c r="G217" t="s">
        <v>14</v>
      </c>
      <c r="H217">
        <v>35</v>
      </c>
      <c r="I217" s="2">
        <v>559.65</v>
      </c>
      <c r="J217" s="2">
        <v>210</v>
      </c>
    </row>
    <row r="218" spans="1:10" x14ac:dyDescent="0.35">
      <c r="A218">
        <v>2021</v>
      </c>
      <c r="B218">
        <v>8</v>
      </c>
      <c r="C218" t="s">
        <v>54</v>
      </c>
      <c r="D218" t="s">
        <v>48</v>
      </c>
      <c r="E218" t="s">
        <v>1</v>
      </c>
      <c r="F218" t="s">
        <v>24</v>
      </c>
      <c r="G218" t="s">
        <v>14</v>
      </c>
      <c r="H218">
        <v>35</v>
      </c>
      <c r="I218" s="2">
        <v>454.65000000000003</v>
      </c>
      <c r="J218" s="2">
        <v>105</v>
      </c>
    </row>
    <row r="219" spans="1:10" x14ac:dyDescent="0.35">
      <c r="A219">
        <v>2021</v>
      </c>
      <c r="B219">
        <v>8</v>
      </c>
      <c r="C219" t="s">
        <v>54</v>
      </c>
      <c r="D219" t="s">
        <v>48</v>
      </c>
      <c r="E219" t="s">
        <v>1</v>
      </c>
      <c r="F219" t="s">
        <v>34</v>
      </c>
      <c r="G219" t="s">
        <v>12</v>
      </c>
      <c r="H219">
        <v>36</v>
      </c>
      <c r="I219" s="2">
        <v>143.64000000000001</v>
      </c>
      <c r="J219" s="2">
        <v>72</v>
      </c>
    </row>
    <row r="220" spans="1:10" x14ac:dyDescent="0.35">
      <c r="A220">
        <v>2021</v>
      </c>
      <c r="B220">
        <v>8</v>
      </c>
      <c r="C220" t="s">
        <v>54</v>
      </c>
      <c r="D220" t="s">
        <v>48</v>
      </c>
      <c r="E220" t="s">
        <v>1</v>
      </c>
      <c r="F220" t="s">
        <v>20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35">
      <c r="A221">
        <v>2021</v>
      </c>
      <c r="B221">
        <v>8</v>
      </c>
      <c r="C221" t="s">
        <v>54</v>
      </c>
      <c r="D221" t="s">
        <v>48</v>
      </c>
      <c r="E221" t="s">
        <v>1</v>
      </c>
      <c r="F221" t="s">
        <v>25</v>
      </c>
      <c r="G221" t="s">
        <v>7</v>
      </c>
      <c r="H221">
        <v>51</v>
      </c>
      <c r="I221" s="2">
        <v>815.49</v>
      </c>
      <c r="J221" s="2">
        <v>204</v>
      </c>
    </row>
    <row r="222" spans="1:10" x14ac:dyDescent="0.35">
      <c r="A222">
        <v>2021</v>
      </c>
      <c r="B222">
        <v>8</v>
      </c>
      <c r="C222" t="s">
        <v>54</v>
      </c>
      <c r="D222" t="s">
        <v>48</v>
      </c>
      <c r="E222" t="s">
        <v>1</v>
      </c>
      <c r="F222" t="s">
        <v>8</v>
      </c>
      <c r="G222" t="s">
        <v>9</v>
      </c>
      <c r="H222">
        <v>55</v>
      </c>
      <c r="I222" s="2">
        <v>384.45</v>
      </c>
      <c r="J222" s="2">
        <v>165</v>
      </c>
    </row>
    <row r="223" spans="1:10" x14ac:dyDescent="0.35">
      <c r="A223">
        <v>2021</v>
      </c>
      <c r="B223">
        <v>8</v>
      </c>
      <c r="C223" t="s">
        <v>54</v>
      </c>
      <c r="D223" t="s">
        <v>48</v>
      </c>
      <c r="E223" t="s">
        <v>1</v>
      </c>
      <c r="F223" t="s">
        <v>17</v>
      </c>
      <c r="G223" t="s">
        <v>14</v>
      </c>
      <c r="H223">
        <v>120</v>
      </c>
      <c r="I223" s="2">
        <v>1318.8</v>
      </c>
      <c r="J223" s="2">
        <v>120</v>
      </c>
    </row>
    <row r="224" spans="1:10" x14ac:dyDescent="0.35">
      <c r="A224">
        <v>2021</v>
      </c>
      <c r="B224">
        <v>8</v>
      </c>
      <c r="C224" t="s">
        <v>54</v>
      </c>
      <c r="D224" t="s">
        <v>48</v>
      </c>
      <c r="E224" t="s">
        <v>1</v>
      </c>
      <c r="F224" t="s">
        <v>28</v>
      </c>
      <c r="G224" t="s">
        <v>14</v>
      </c>
      <c r="H224">
        <v>33</v>
      </c>
      <c r="I224" s="2">
        <v>494.67</v>
      </c>
      <c r="J224" s="2">
        <v>132</v>
      </c>
    </row>
    <row r="225" spans="1:10" x14ac:dyDescent="0.35">
      <c r="A225">
        <v>2021</v>
      </c>
      <c r="B225">
        <v>8</v>
      </c>
      <c r="C225" t="s">
        <v>54</v>
      </c>
      <c r="D225" t="s">
        <v>48</v>
      </c>
      <c r="E225" t="s">
        <v>1</v>
      </c>
      <c r="F225" t="s">
        <v>40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35">
      <c r="A226">
        <v>2021</v>
      </c>
      <c r="B226">
        <v>8</v>
      </c>
      <c r="C226" t="s">
        <v>54</v>
      </c>
      <c r="D226" t="s">
        <v>48</v>
      </c>
      <c r="E226" t="s">
        <v>1</v>
      </c>
      <c r="F226" t="s">
        <v>35</v>
      </c>
      <c r="G226" t="s">
        <v>14</v>
      </c>
      <c r="H226">
        <v>38</v>
      </c>
      <c r="I226" s="2">
        <v>227.62</v>
      </c>
      <c r="J226" s="2">
        <v>76</v>
      </c>
    </row>
    <row r="227" spans="1:10" x14ac:dyDescent="0.35">
      <c r="A227">
        <v>2021</v>
      </c>
      <c r="B227">
        <v>8</v>
      </c>
      <c r="C227" t="s">
        <v>54</v>
      </c>
      <c r="D227" t="s">
        <v>48</v>
      </c>
      <c r="E227" t="s">
        <v>1</v>
      </c>
      <c r="F227" t="s">
        <v>31</v>
      </c>
      <c r="G227" t="s">
        <v>12</v>
      </c>
      <c r="H227">
        <v>9</v>
      </c>
      <c r="I227" s="2">
        <v>179.91</v>
      </c>
      <c r="J227" s="2">
        <v>53.999999999999986</v>
      </c>
    </row>
    <row r="228" spans="1:10" x14ac:dyDescent="0.35">
      <c r="A228">
        <v>2021</v>
      </c>
      <c r="B228">
        <v>8</v>
      </c>
      <c r="C228" t="s">
        <v>54</v>
      </c>
      <c r="D228" t="s">
        <v>48</v>
      </c>
      <c r="E228" t="s">
        <v>1</v>
      </c>
      <c r="F228" t="s">
        <v>15</v>
      </c>
      <c r="G228" t="s">
        <v>14</v>
      </c>
      <c r="H228">
        <v>14</v>
      </c>
      <c r="I228" s="2">
        <v>559.86</v>
      </c>
      <c r="J228" s="2">
        <v>70</v>
      </c>
    </row>
    <row r="229" spans="1:10" x14ac:dyDescent="0.35">
      <c r="A229">
        <v>2021</v>
      </c>
      <c r="B229">
        <v>8</v>
      </c>
      <c r="C229" t="s">
        <v>54</v>
      </c>
      <c r="D229" t="s">
        <v>48</v>
      </c>
      <c r="E229" t="s">
        <v>1</v>
      </c>
      <c r="F229" t="s">
        <v>42</v>
      </c>
      <c r="G229" t="s">
        <v>12</v>
      </c>
      <c r="H229">
        <v>28</v>
      </c>
      <c r="I229" s="2">
        <v>447.72</v>
      </c>
      <c r="J229" s="2">
        <v>56</v>
      </c>
    </row>
    <row r="230" spans="1:10" x14ac:dyDescent="0.35">
      <c r="A230">
        <v>2021</v>
      </c>
      <c r="B230">
        <v>8</v>
      </c>
      <c r="C230" t="s">
        <v>54</v>
      </c>
      <c r="D230" t="s">
        <v>48</v>
      </c>
      <c r="E230" t="s">
        <v>1</v>
      </c>
      <c r="F230" t="s">
        <v>22</v>
      </c>
      <c r="G230" t="s">
        <v>7</v>
      </c>
      <c r="H230">
        <v>2</v>
      </c>
      <c r="I230" s="2">
        <v>19.98</v>
      </c>
      <c r="J230" s="2">
        <v>6</v>
      </c>
    </row>
    <row r="231" spans="1:10" x14ac:dyDescent="0.35">
      <c r="A231">
        <v>2021</v>
      </c>
      <c r="B231">
        <v>8</v>
      </c>
      <c r="C231" t="s">
        <v>54</v>
      </c>
      <c r="D231" t="s">
        <v>48</v>
      </c>
      <c r="E231" t="s">
        <v>1</v>
      </c>
      <c r="F231" t="s">
        <v>41</v>
      </c>
      <c r="G231" t="s">
        <v>14</v>
      </c>
      <c r="H231">
        <v>30</v>
      </c>
      <c r="I231" s="2">
        <v>299.7</v>
      </c>
      <c r="J231" s="2">
        <v>150</v>
      </c>
    </row>
    <row r="232" spans="1:10" x14ac:dyDescent="0.35">
      <c r="A232">
        <v>2021</v>
      </c>
      <c r="B232">
        <v>8</v>
      </c>
      <c r="C232" t="s">
        <v>54</v>
      </c>
      <c r="D232" t="s">
        <v>48</v>
      </c>
      <c r="E232" t="s">
        <v>1</v>
      </c>
      <c r="F232" t="s">
        <v>10</v>
      </c>
      <c r="G232" t="s">
        <v>7</v>
      </c>
      <c r="H232">
        <v>19</v>
      </c>
      <c r="I232" s="2">
        <v>379.80999999999995</v>
      </c>
      <c r="J232" s="2">
        <v>94.999999999999972</v>
      </c>
    </row>
    <row r="233" spans="1:10" x14ac:dyDescent="0.35">
      <c r="A233">
        <v>2021</v>
      </c>
      <c r="B233">
        <v>8</v>
      </c>
      <c r="C233" t="s">
        <v>54</v>
      </c>
      <c r="D233" t="s">
        <v>48</v>
      </c>
      <c r="E233" t="s">
        <v>1</v>
      </c>
      <c r="F233" t="s">
        <v>27</v>
      </c>
      <c r="G233" t="s">
        <v>12</v>
      </c>
      <c r="H233">
        <v>50</v>
      </c>
      <c r="I233" s="2">
        <v>149.5</v>
      </c>
      <c r="J233" s="2">
        <v>50.000000000000014</v>
      </c>
    </row>
    <row r="234" spans="1:10" x14ac:dyDescent="0.35">
      <c r="A234">
        <v>2021</v>
      </c>
      <c r="B234">
        <v>8</v>
      </c>
      <c r="C234" t="s">
        <v>54</v>
      </c>
      <c r="D234" t="s">
        <v>48</v>
      </c>
      <c r="E234" t="s">
        <v>1</v>
      </c>
      <c r="F234" t="s">
        <v>11</v>
      </c>
      <c r="G234" t="s">
        <v>12</v>
      </c>
      <c r="H234">
        <v>23</v>
      </c>
      <c r="I234" s="2">
        <v>114.77000000000001</v>
      </c>
      <c r="J234" s="2">
        <v>23</v>
      </c>
    </row>
    <row r="235" spans="1:10" x14ac:dyDescent="0.35">
      <c r="A235">
        <v>2021</v>
      </c>
      <c r="B235">
        <v>8</v>
      </c>
      <c r="C235" t="s">
        <v>54</v>
      </c>
      <c r="D235" t="s">
        <v>48</v>
      </c>
      <c r="E235" t="s">
        <v>1</v>
      </c>
      <c r="F235" t="s">
        <v>45</v>
      </c>
      <c r="G235" t="s">
        <v>12</v>
      </c>
      <c r="H235">
        <v>16</v>
      </c>
      <c r="I235" s="2">
        <v>175.84</v>
      </c>
      <c r="J235" s="2">
        <v>112</v>
      </c>
    </row>
    <row r="236" spans="1:10" x14ac:dyDescent="0.35">
      <c r="A236">
        <v>2021</v>
      </c>
      <c r="B236">
        <v>8</v>
      </c>
      <c r="C236" t="s">
        <v>54</v>
      </c>
      <c r="D236" t="s">
        <v>48</v>
      </c>
      <c r="E236" t="s">
        <v>1</v>
      </c>
      <c r="F236" t="s">
        <v>39</v>
      </c>
      <c r="G236" t="s">
        <v>14</v>
      </c>
      <c r="H236">
        <v>3</v>
      </c>
      <c r="I236" s="2">
        <v>59.97</v>
      </c>
      <c r="J236" s="2">
        <v>32.999999999999993</v>
      </c>
    </row>
    <row r="237" spans="1:10" x14ac:dyDescent="0.35">
      <c r="A237">
        <v>2021</v>
      </c>
      <c r="B237">
        <v>8</v>
      </c>
      <c r="C237" t="s">
        <v>54</v>
      </c>
      <c r="D237" t="s">
        <v>48</v>
      </c>
      <c r="E237" t="s">
        <v>1</v>
      </c>
      <c r="F237" t="s">
        <v>26</v>
      </c>
      <c r="G237" t="s">
        <v>9</v>
      </c>
      <c r="H237">
        <v>12</v>
      </c>
      <c r="I237" s="2">
        <v>239.88</v>
      </c>
      <c r="J237" s="2">
        <v>24</v>
      </c>
    </row>
    <row r="238" spans="1:10" x14ac:dyDescent="0.35">
      <c r="A238">
        <v>2021</v>
      </c>
      <c r="B238">
        <v>8</v>
      </c>
      <c r="C238" t="s">
        <v>54</v>
      </c>
      <c r="D238" t="s">
        <v>48</v>
      </c>
      <c r="E238" t="s">
        <v>1</v>
      </c>
      <c r="F238" t="s">
        <v>6</v>
      </c>
      <c r="G238" t="s">
        <v>7</v>
      </c>
      <c r="H238">
        <v>6</v>
      </c>
      <c r="I238" s="2">
        <v>53.94</v>
      </c>
      <c r="J238" s="2">
        <v>6</v>
      </c>
    </row>
    <row r="239" spans="1:10" x14ac:dyDescent="0.35">
      <c r="A239">
        <v>2021</v>
      </c>
      <c r="B239">
        <v>8</v>
      </c>
      <c r="C239" t="s">
        <v>54</v>
      </c>
      <c r="D239" t="s">
        <v>48</v>
      </c>
      <c r="E239" t="s">
        <v>1</v>
      </c>
      <c r="F239" t="s">
        <v>36</v>
      </c>
      <c r="G239" t="s">
        <v>7</v>
      </c>
      <c r="H239">
        <v>24</v>
      </c>
      <c r="I239" s="2">
        <v>359.76</v>
      </c>
      <c r="J239" s="2">
        <v>72</v>
      </c>
    </row>
    <row r="240" spans="1:10" x14ac:dyDescent="0.35">
      <c r="A240">
        <v>2021</v>
      </c>
      <c r="B240">
        <v>8</v>
      </c>
      <c r="C240" t="s">
        <v>54</v>
      </c>
      <c r="D240" t="s">
        <v>48</v>
      </c>
      <c r="E240" t="s">
        <v>1</v>
      </c>
      <c r="F240" t="s">
        <v>23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35">
      <c r="A241">
        <v>2021</v>
      </c>
      <c r="B241">
        <v>8</v>
      </c>
      <c r="C241" t="s">
        <v>58</v>
      </c>
      <c r="D241" t="s">
        <v>5</v>
      </c>
      <c r="E241" t="s">
        <v>1</v>
      </c>
      <c r="F241" t="s">
        <v>13</v>
      </c>
      <c r="G241" t="s">
        <v>14</v>
      </c>
      <c r="H241">
        <v>24</v>
      </c>
      <c r="I241" s="2">
        <v>383.76</v>
      </c>
      <c r="J241" s="2">
        <v>144</v>
      </c>
    </row>
    <row r="242" spans="1:10" x14ac:dyDescent="0.35">
      <c r="A242">
        <v>2021</v>
      </c>
      <c r="B242">
        <v>8</v>
      </c>
      <c r="C242" t="s">
        <v>58</v>
      </c>
      <c r="D242" t="s">
        <v>5</v>
      </c>
      <c r="E242" t="s">
        <v>1</v>
      </c>
      <c r="F242" t="s">
        <v>24</v>
      </c>
      <c r="G242" t="s">
        <v>14</v>
      </c>
      <c r="H242">
        <v>103</v>
      </c>
      <c r="I242" s="2">
        <v>1337.97</v>
      </c>
      <c r="J242" s="2">
        <v>309</v>
      </c>
    </row>
    <row r="243" spans="1:10" x14ac:dyDescent="0.35">
      <c r="A243">
        <v>2021</v>
      </c>
      <c r="B243">
        <v>8</v>
      </c>
      <c r="C243" t="s">
        <v>58</v>
      </c>
      <c r="D243" t="s">
        <v>5</v>
      </c>
      <c r="E243" t="s">
        <v>1</v>
      </c>
      <c r="F243" t="s">
        <v>34</v>
      </c>
      <c r="G243" t="s">
        <v>12</v>
      </c>
      <c r="H243">
        <v>52</v>
      </c>
      <c r="I243" s="2">
        <v>207.48000000000002</v>
      </c>
      <c r="J243" s="2">
        <v>104</v>
      </c>
    </row>
    <row r="244" spans="1:10" x14ac:dyDescent="0.35">
      <c r="A244">
        <v>2021</v>
      </c>
      <c r="B244">
        <v>8</v>
      </c>
      <c r="C244" t="s">
        <v>58</v>
      </c>
      <c r="D244" t="s">
        <v>5</v>
      </c>
      <c r="E244" t="s">
        <v>1</v>
      </c>
      <c r="F244" t="s">
        <v>20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35">
      <c r="A245">
        <v>2021</v>
      </c>
      <c r="B245">
        <v>8</v>
      </c>
      <c r="C245" t="s">
        <v>58</v>
      </c>
      <c r="D245" t="s">
        <v>5</v>
      </c>
      <c r="E245" t="s">
        <v>1</v>
      </c>
      <c r="F245" t="s">
        <v>25</v>
      </c>
      <c r="G245" t="s">
        <v>7</v>
      </c>
      <c r="H245">
        <v>32</v>
      </c>
      <c r="I245" s="2">
        <v>511.68</v>
      </c>
      <c r="J245" s="2">
        <v>128</v>
      </c>
    </row>
    <row r="246" spans="1:10" x14ac:dyDescent="0.35">
      <c r="A246">
        <v>2021</v>
      </c>
      <c r="B246">
        <v>8</v>
      </c>
      <c r="C246" t="s">
        <v>58</v>
      </c>
      <c r="D246" t="s">
        <v>5</v>
      </c>
      <c r="E246" t="s">
        <v>1</v>
      </c>
      <c r="F246" t="s">
        <v>8</v>
      </c>
      <c r="G246" t="s">
        <v>9</v>
      </c>
      <c r="H246">
        <v>29</v>
      </c>
      <c r="I246" s="2">
        <v>202.71</v>
      </c>
      <c r="J246" s="2">
        <v>87</v>
      </c>
    </row>
    <row r="247" spans="1:10" x14ac:dyDescent="0.35">
      <c r="A247">
        <v>2021</v>
      </c>
      <c r="B247">
        <v>8</v>
      </c>
      <c r="C247" t="s">
        <v>58</v>
      </c>
      <c r="D247" t="s">
        <v>5</v>
      </c>
      <c r="E247" t="s">
        <v>1</v>
      </c>
      <c r="F247" t="s">
        <v>17</v>
      </c>
      <c r="G247" t="s">
        <v>14</v>
      </c>
      <c r="H247">
        <v>52</v>
      </c>
      <c r="I247" s="2">
        <v>571.48</v>
      </c>
      <c r="J247" s="2">
        <v>52</v>
      </c>
    </row>
    <row r="248" spans="1:10" x14ac:dyDescent="0.35">
      <c r="A248">
        <v>2021</v>
      </c>
      <c r="B248">
        <v>8</v>
      </c>
      <c r="C248" t="s">
        <v>58</v>
      </c>
      <c r="D248" t="s">
        <v>5</v>
      </c>
      <c r="E248" t="s">
        <v>1</v>
      </c>
      <c r="F248" t="s">
        <v>28</v>
      </c>
      <c r="G248" t="s">
        <v>14</v>
      </c>
      <c r="H248">
        <v>46</v>
      </c>
      <c r="I248" s="2">
        <v>689.54</v>
      </c>
      <c r="J248" s="2">
        <v>184</v>
      </c>
    </row>
    <row r="249" spans="1:10" x14ac:dyDescent="0.35">
      <c r="A249">
        <v>2021</v>
      </c>
      <c r="B249">
        <v>8</v>
      </c>
      <c r="C249" t="s">
        <v>58</v>
      </c>
      <c r="D249" t="s">
        <v>5</v>
      </c>
      <c r="E249" t="s">
        <v>1</v>
      </c>
      <c r="F249" t="s">
        <v>43</v>
      </c>
      <c r="G249" t="s">
        <v>12</v>
      </c>
      <c r="H249">
        <v>30</v>
      </c>
      <c r="I249" s="2">
        <v>629.69999999999993</v>
      </c>
      <c r="J249" s="2">
        <v>299.99999999999994</v>
      </c>
    </row>
    <row r="250" spans="1:10" x14ac:dyDescent="0.35">
      <c r="A250">
        <v>2021</v>
      </c>
      <c r="B250">
        <v>8</v>
      </c>
      <c r="C250" t="s">
        <v>58</v>
      </c>
      <c r="D250" t="s">
        <v>5</v>
      </c>
      <c r="E250" t="s">
        <v>1</v>
      </c>
      <c r="F250" t="s">
        <v>44</v>
      </c>
      <c r="G250" t="s">
        <v>7</v>
      </c>
      <c r="H250">
        <v>21</v>
      </c>
      <c r="I250" s="2">
        <v>251.79</v>
      </c>
      <c r="J250" s="2">
        <v>63</v>
      </c>
    </row>
    <row r="251" spans="1:10" x14ac:dyDescent="0.35">
      <c r="A251">
        <v>2021</v>
      </c>
      <c r="B251">
        <v>8</v>
      </c>
      <c r="C251" t="s">
        <v>58</v>
      </c>
      <c r="D251" t="s">
        <v>5</v>
      </c>
      <c r="E251" t="s">
        <v>1</v>
      </c>
      <c r="F251" t="s">
        <v>40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35">
      <c r="A252">
        <v>2021</v>
      </c>
      <c r="B252">
        <v>8</v>
      </c>
      <c r="C252" t="s">
        <v>58</v>
      </c>
      <c r="D252" t="s">
        <v>5</v>
      </c>
      <c r="E252" t="s">
        <v>1</v>
      </c>
      <c r="F252" t="s">
        <v>32</v>
      </c>
      <c r="G252" t="s">
        <v>9</v>
      </c>
      <c r="H252">
        <v>11</v>
      </c>
      <c r="I252" s="2">
        <v>120.89</v>
      </c>
      <c r="J252" s="2">
        <v>55</v>
      </c>
    </row>
    <row r="253" spans="1:10" x14ac:dyDescent="0.35">
      <c r="A253">
        <v>2021</v>
      </c>
      <c r="B253">
        <v>8</v>
      </c>
      <c r="C253" t="s">
        <v>58</v>
      </c>
      <c r="D253" t="s">
        <v>5</v>
      </c>
      <c r="E253" t="s">
        <v>1</v>
      </c>
      <c r="F253" t="s">
        <v>35</v>
      </c>
      <c r="G253" t="s">
        <v>14</v>
      </c>
      <c r="H253">
        <v>24</v>
      </c>
      <c r="I253" s="2">
        <v>143.76</v>
      </c>
      <c r="J253" s="2">
        <v>48</v>
      </c>
    </row>
    <row r="254" spans="1:10" x14ac:dyDescent="0.35">
      <c r="A254">
        <v>2021</v>
      </c>
      <c r="B254">
        <v>8</v>
      </c>
      <c r="C254" t="s">
        <v>58</v>
      </c>
      <c r="D254" t="s">
        <v>5</v>
      </c>
      <c r="E254" t="s">
        <v>1</v>
      </c>
      <c r="F254" t="s">
        <v>31</v>
      </c>
      <c r="G254" t="s">
        <v>12</v>
      </c>
      <c r="H254">
        <v>48</v>
      </c>
      <c r="I254" s="2">
        <v>959.52</v>
      </c>
      <c r="J254" s="2">
        <v>287.99999999999989</v>
      </c>
    </row>
    <row r="255" spans="1:10" x14ac:dyDescent="0.35">
      <c r="A255">
        <v>2021</v>
      </c>
      <c r="B255">
        <v>8</v>
      </c>
      <c r="C255" t="s">
        <v>58</v>
      </c>
      <c r="D255" t="s">
        <v>5</v>
      </c>
      <c r="E255" t="s">
        <v>1</v>
      </c>
      <c r="F255" t="s">
        <v>15</v>
      </c>
      <c r="G255" t="s">
        <v>14</v>
      </c>
      <c r="H255">
        <v>99</v>
      </c>
      <c r="I255" s="2">
        <v>3959.01</v>
      </c>
      <c r="J255" s="2">
        <v>495</v>
      </c>
    </row>
    <row r="256" spans="1:10" x14ac:dyDescent="0.35">
      <c r="A256">
        <v>2021</v>
      </c>
      <c r="B256">
        <v>8</v>
      </c>
      <c r="C256" t="s">
        <v>58</v>
      </c>
      <c r="D256" t="s">
        <v>5</v>
      </c>
      <c r="E256" t="s">
        <v>1</v>
      </c>
      <c r="F256" t="s">
        <v>42</v>
      </c>
      <c r="G256" t="s">
        <v>12</v>
      </c>
      <c r="H256">
        <v>90</v>
      </c>
      <c r="I256" s="2">
        <v>1439.1</v>
      </c>
      <c r="J256" s="2">
        <v>180</v>
      </c>
    </row>
    <row r="257" spans="1:10" x14ac:dyDescent="0.35">
      <c r="A257">
        <v>2021</v>
      </c>
      <c r="B257">
        <v>8</v>
      </c>
      <c r="C257" t="s">
        <v>58</v>
      </c>
      <c r="D257" t="s">
        <v>5</v>
      </c>
      <c r="E257" t="s">
        <v>1</v>
      </c>
      <c r="F257" t="s">
        <v>22</v>
      </c>
      <c r="G257" t="s">
        <v>7</v>
      </c>
      <c r="H257">
        <v>20</v>
      </c>
      <c r="I257" s="2">
        <v>199.8</v>
      </c>
      <c r="J257" s="2">
        <v>60</v>
      </c>
    </row>
    <row r="258" spans="1:10" x14ac:dyDescent="0.35">
      <c r="A258">
        <v>2021</v>
      </c>
      <c r="B258">
        <v>8</v>
      </c>
      <c r="C258" t="s">
        <v>58</v>
      </c>
      <c r="D258" t="s">
        <v>5</v>
      </c>
      <c r="E258" t="s">
        <v>1</v>
      </c>
      <c r="F258" t="s">
        <v>41</v>
      </c>
      <c r="G258" t="s">
        <v>14</v>
      </c>
      <c r="H258">
        <v>74</v>
      </c>
      <c r="I258" s="2">
        <v>739.26</v>
      </c>
      <c r="J258" s="2">
        <v>370</v>
      </c>
    </row>
    <row r="259" spans="1:10" x14ac:dyDescent="0.35">
      <c r="A259">
        <v>2021</v>
      </c>
      <c r="B259">
        <v>8</v>
      </c>
      <c r="C259" t="s">
        <v>58</v>
      </c>
      <c r="D259" t="s">
        <v>5</v>
      </c>
      <c r="E259" t="s">
        <v>1</v>
      </c>
      <c r="F259" t="s">
        <v>10</v>
      </c>
      <c r="G259" t="s">
        <v>7</v>
      </c>
      <c r="H259">
        <v>48</v>
      </c>
      <c r="I259" s="2">
        <v>959.52</v>
      </c>
      <c r="J259" s="2">
        <v>239.99999999999991</v>
      </c>
    </row>
    <row r="260" spans="1:10" x14ac:dyDescent="0.35">
      <c r="A260">
        <v>2021</v>
      </c>
      <c r="B260">
        <v>8</v>
      </c>
      <c r="C260" t="s">
        <v>58</v>
      </c>
      <c r="D260" t="s">
        <v>5</v>
      </c>
      <c r="E260" t="s">
        <v>1</v>
      </c>
      <c r="F260" t="s">
        <v>27</v>
      </c>
      <c r="G260" t="s">
        <v>12</v>
      </c>
      <c r="H260">
        <v>104</v>
      </c>
      <c r="I260" s="2">
        <v>310.96000000000004</v>
      </c>
      <c r="J260" s="2">
        <v>104.00000000000003</v>
      </c>
    </row>
    <row r="261" spans="1:10" x14ac:dyDescent="0.35">
      <c r="A261">
        <v>2021</v>
      </c>
      <c r="B261">
        <v>8</v>
      </c>
      <c r="C261" t="s">
        <v>58</v>
      </c>
      <c r="D261" t="s">
        <v>5</v>
      </c>
      <c r="E261" t="s">
        <v>1</v>
      </c>
      <c r="F261" t="s">
        <v>37</v>
      </c>
      <c r="G261" t="s">
        <v>12</v>
      </c>
      <c r="H261">
        <v>16</v>
      </c>
      <c r="I261" s="2">
        <v>399.84</v>
      </c>
      <c r="J261" s="2">
        <v>64</v>
      </c>
    </row>
    <row r="262" spans="1:10" x14ac:dyDescent="0.35">
      <c r="A262">
        <v>2021</v>
      </c>
      <c r="B262">
        <v>8</v>
      </c>
      <c r="C262" t="s">
        <v>58</v>
      </c>
      <c r="D262" t="s">
        <v>5</v>
      </c>
      <c r="E262" t="s">
        <v>1</v>
      </c>
      <c r="F262" t="s">
        <v>11</v>
      </c>
      <c r="G262" t="s">
        <v>12</v>
      </c>
      <c r="H262">
        <v>37</v>
      </c>
      <c r="I262" s="2">
        <v>184.63</v>
      </c>
      <c r="J262" s="2">
        <v>37</v>
      </c>
    </row>
    <row r="263" spans="1:10" x14ac:dyDescent="0.35">
      <c r="A263">
        <v>2021</v>
      </c>
      <c r="B263">
        <v>8</v>
      </c>
      <c r="C263" t="s">
        <v>58</v>
      </c>
      <c r="D263" t="s">
        <v>5</v>
      </c>
      <c r="E263" t="s">
        <v>1</v>
      </c>
      <c r="F263" t="s">
        <v>45</v>
      </c>
      <c r="G263" t="s">
        <v>12</v>
      </c>
      <c r="H263">
        <v>64</v>
      </c>
      <c r="I263" s="2">
        <v>703.36</v>
      </c>
      <c r="J263" s="2">
        <v>448</v>
      </c>
    </row>
    <row r="264" spans="1:10" x14ac:dyDescent="0.35">
      <c r="A264">
        <v>2021</v>
      </c>
      <c r="B264">
        <v>8</v>
      </c>
      <c r="C264" t="s">
        <v>58</v>
      </c>
      <c r="D264" t="s">
        <v>5</v>
      </c>
      <c r="E264" t="s">
        <v>1</v>
      </c>
      <c r="F264" t="s">
        <v>39</v>
      </c>
      <c r="G264" t="s">
        <v>14</v>
      </c>
      <c r="H264">
        <v>1</v>
      </c>
      <c r="I264" s="2">
        <v>19.989999999999998</v>
      </c>
      <c r="J264" s="2">
        <v>10.999999999999998</v>
      </c>
    </row>
    <row r="265" spans="1:10" x14ac:dyDescent="0.35">
      <c r="A265">
        <v>2021</v>
      </c>
      <c r="B265">
        <v>8</v>
      </c>
      <c r="C265" t="s">
        <v>58</v>
      </c>
      <c r="D265" t="s">
        <v>5</v>
      </c>
      <c r="E265" t="s">
        <v>1</v>
      </c>
      <c r="F265" t="s">
        <v>26</v>
      </c>
      <c r="G265" t="s">
        <v>9</v>
      </c>
      <c r="H265">
        <v>19</v>
      </c>
      <c r="I265" s="2">
        <v>379.80999999999995</v>
      </c>
      <c r="J265" s="2">
        <v>38</v>
      </c>
    </row>
    <row r="266" spans="1:10" x14ac:dyDescent="0.35">
      <c r="A266">
        <v>2021</v>
      </c>
      <c r="B266">
        <v>8</v>
      </c>
      <c r="C266" t="s">
        <v>58</v>
      </c>
      <c r="D266" t="s">
        <v>5</v>
      </c>
      <c r="E266" t="s">
        <v>1</v>
      </c>
      <c r="F266" t="s">
        <v>6</v>
      </c>
      <c r="G266" t="s">
        <v>7</v>
      </c>
      <c r="H266">
        <v>186</v>
      </c>
      <c r="I266" s="2">
        <v>1672.14</v>
      </c>
      <c r="J266" s="2">
        <v>186</v>
      </c>
    </row>
    <row r="267" spans="1:10" x14ac:dyDescent="0.35">
      <c r="A267">
        <v>2021</v>
      </c>
      <c r="B267">
        <v>8</v>
      </c>
      <c r="C267" t="s">
        <v>58</v>
      </c>
      <c r="D267" t="s">
        <v>5</v>
      </c>
      <c r="E267" t="s">
        <v>1</v>
      </c>
      <c r="F267" t="s">
        <v>36</v>
      </c>
      <c r="G267" t="s">
        <v>7</v>
      </c>
      <c r="H267">
        <v>6</v>
      </c>
      <c r="I267" s="2">
        <v>89.94</v>
      </c>
      <c r="J267" s="2">
        <v>18</v>
      </c>
    </row>
    <row r="268" spans="1:10" x14ac:dyDescent="0.35">
      <c r="A268">
        <v>2021</v>
      </c>
      <c r="B268">
        <v>8</v>
      </c>
      <c r="C268" t="s">
        <v>58</v>
      </c>
      <c r="D268" t="s">
        <v>5</v>
      </c>
      <c r="E268" t="s">
        <v>1</v>
      </c>
      <c r="F268" t="s">
        <v>16</v>
      </c>
      <c r="G268" t="s">
        <v>14</v>
      </c>
      <c r="H268">
        <v>28</v>
      </c>
      <c r="I268" s="2">
        <v>363.72</v>
      </c>
      <c r="J268" s="2">
        <v>56</v>
      </c>
    </row>
    <row r="269" spans="1:10" x14ac:dyDescent="0.35">
      <c r="A269">
        <v>2021</v>
      </c>
      <c r="B269">
        <v>8</v>
      </c>
      <c r="C269" t="s">
        <v>58</v>
      </c>
      <c r="D269" t="s">
        <v>5</v>
      </c>
      <c r="E269" t="s">
        <v>1</v>
      </c>
      <c r="F269" t="s">
        <v>23</v>
      </c>
      <c r="G269" t="s">
        <v>21</v>
      </c>
      <c r="H269">
        <v>16</v>
      </c>
      <c r="I269" s="2">
        <v>415.84</v>
      </c>
      <c r="J269" s="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showGridLines="0" workbookViewId="0"/>
  </sheetViews>
  <sheetFormatPr defaultRowHeight="14.5" x14ac:dyDescent="0.35"/>
  <sheetData>
    <row r="1" spans="1:10" x14ac:dyDescent="0.35">
      <c r="A1">
        <v>2021</v>
      </c>
      <c r="B1">
        <v>9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57</v>
      </c>
      <c r="I1" s="2">
        <v>911.43000000000006</v>
      </c>
      <c r="J1" s="2">
        <v>342</v>
      </c>
    </row>
    <row r="2" spans="1:10" x14ac:dyDescent="0.35">
      <c r="A2">
        <v>2021</v>
      </c>
      <c r="B2">
        <v>9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33</v>
      </c>
      <c r="I2" s="2">
        <v>428.67</v>
      </c>
      <c r="J2" s="2">
        <v>99</v>
      </c>
    </row>
    <row r="3" spans="1:10" x14ac:dyDescent="0.35">
      <c r="A3">
        <v>2021</v>
      </c>
      <c r="B3">
        <v>9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79</v>
      </c>
      <c r="I3" s="2">
        <v>315.21000000000004</v>
      </c>
      <c r="J3" s="2">
        <v>158</v>
      </c>
    </row>
    <row r="4" spans="1:10" x14ac:dyDescent="0.35">
      <c r="A4">
        <v>2021</v>
      </c>
      <c r="B4">
        <v>9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18</v>
      </c>
      <c r="I4" s="2">
        <v>233.82</v>
      </c>
      <c r="J4" s="2">
        <v>54</v>
      </c>
    </row>
    <row r="5" spans="1:10" x14ac:dyDescent="0.35">
      <c r="A5">
        <v>2021</v>
      </c>
      <c r="B5">
        <v>9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25</v>
      </c>
      <c r="I5" s="2">
        <v>249.75</v>
      </c>
      <c r="J5" s="2">
        <v>50</v>
      </c>
    </row>
    <row r="6" spans="1:10" x14ac:dyDescent="0.35">
      <c r="A6">
        <v>2021</v>
      </c>
      <c r="B6">
        <v>9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35">
      <c r="A7">
        <v>2021</v>
      </c>
      <c r="B7">
        <v>9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6</v>
      </c>
      <c r="I7" s="2">
        <v>95.94</v>
      </c>
      <c r="J7" s="2">
        <v>24</v>
      </c>
    </row>
    <row r="8" spans="1:10" x14ac:dyDescent="0.35">
      <c r="A8">
        <v>2021</v>
      </c>
      <c r="B8">
        <v>9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69</v>
      </c>
      <c r="I8" s="2">
        <v>482.31</v>
      </c>
      <c r="J8" s="2">
        <v>207</v>
      </c>
    </row>
    <row r="9" spans="1:10" x14ac:dyDescent="0.35">
      <c r="A9">
        <v>2021</v>
      </c>
      <c r="B9">
        <v>9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91</v>
      </c>
      <c r="I9" s="2">
        <v>1000.09</v>
      </c>
      <c r="J9" s="2">
        <v>91</v>
      </c>
    </row>
    <row r="10" spans="1:10" x14ac:dyDescent="0.35">
      <c r="A10">
        <v>2021</v>
      </c>
      <c r="B10">
        <v>9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23</v>
      </c>
      <c r="I10" s="2">
        <v>344.77</v>
      </c>
      <c r="J10" s="2">
        <v>92</v>
      </c>
    </row>
    <row r="11" spans="1:10" x14ac:dyDescent="0.35">
      <c r="A11">
        <v>2021</v>
      </c>
      <c r="B11">
        <v>9</v>
      </c>
      <c r="C11" t="s">
        <v>56</v>
      </c>
      <c r="D11" t="s">
        <v>4</v>
      </c>
      <c r="E11" t="s">
        <v>2</v>
      </c>
      <c r="F11" t="s">
        <v>43</v>
      </c>
      <c r="G11" t="s">
        <v>12</v>
      </c>
      <c r="H11">
        <v>18</v>
      </c>
      <c r="I11" s="2">
        <v>377.82</v>
      </c>
      <c r="J11" s="2">
        <v>179.99999999999997</v>
      </c>
    </row>
    <row r="12" spans="1:10" x14ac:dyDescent="0.35">
      <c r="A12">
        <v>2021</v>
      </c>
      <c r="B12">
        <v>9</v>
      </c>
      <c r="C12" t="s">
        <v>56</v>
      </c>
      <c r="D12" t="s">
        <v>4</v>
      </c>
      <c r="E12" t="s">
        <v>2</v>
      </c>
      <c r="F12" t="s">
        <v>44</v>
      </c>
      <c r="G12" t="s">
        <v>7</v>
      </c>
      <c r="H12">
        <v>22</v>
      </c>
      <c r="I12" s="2">
        <v>263.78000000000003</v>
      </c>
      <c r="J12" s="2">
        <v>66</v>
      </c>
    </row>
    <row r="13" spans="1:10" x14ac:dyDescent="0.35">
      <c r="A13">
        <v>2021</v>
      </c>
      <c r="B13">
        <v>9</v>
      </c>
      <c r="C13" t="s">
        <v>56</v>
      </c>
      <c r="D13" t="s">
        <v>4</v>
      </c>
      <c r="E13" t="s">
        <v>2</v>
      </c>
      <c r="F13" t="s">
        <v>40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35">
      <c r="A14">
        <v>2021</v>
      </c>
      <c r="B14">
        <v>9</v>
      </c>
      <c r="C14" t="s">
        <v>56</v>
      </c>
      <c r="D14" t="s">
        <v>4</v>
      </c>
      <c r="E14" t="s">
        <v>2</v>
      </c>
      <c r="F14" t="s">
        <v>32</v>
      </c>
      <c r="G14" t="s">
        <v>9</v>
      </c>
      <c r="H14">
        <v>18</v>
      </c>
      <c r="I14" s="2">
        <v>197.82</v>
      </c>
      <c r="J14" s="2">
        <v>90</v>
      </c>
    </row>
    <row r="15" spans="1:10" x14ac:dyDescent="0.35">
      <c r="A15">
        <v>2021</v>
      </c>
      <c r="B15">
        <v>9</v>
      </c>
      <c r="C15" t="s">
        <v>56</v>
      </c>
      <c r="D15" t="s">
        <v>4</v>
      </c>
      <c r="E15" t="s">
        <v>2</v>
      </c>
      <c r="F15" t="s">
        <v>35</v>
      </c>
      <c r="G15" t="s">
        <v>14</v>
      </c>
      <c r="H15">
        <v>15</v>
      </c>
      <c r="I15" s="2">
        <v>89.850000000000009</v>
      </c>
      <c r="J15" s="2">
        <v>30</v>
      </c>
    </row>
    <row r="16" spans="1:10" x14ac:dyDescent="0.35">
      <c r="A16">
        <v>2021</v>
      </c>
      <c r="B16">
        <v>9</v>
      </c>
      <c r="C16" t="s">
        <v>56</v>
      </c>
      <c r="D16" t="s">
        <v>4</v>
      </c>
      <c r="E16" t="s">
        <v>2</v>
      </c>
      <c r="F16" t="s">
        <v>31</v>
      </c>
      <c r="G16" t="s">
        <v>12</v>
      </c>
      <c r="H16">
        <v>40</v>
      </c>
      <c r="I16" s="2">
        <v>799.59999999999991</v>
      </c>
      <c r="J16" s="2">
        <v>239.99999999999994</v>
      </c>
    </row>
    <row r="17" spans="1:10" x14ac:dyDescent="0.35">
      <c r="A17">
        <v>2021</v>
      </c>
      <c r="B17">
        <v>9</v>
      </c>
      <c r="C17" t="s">
        <v>56</v>
      </c>
      <c r="D17" t="s">
        <v>4</v>
      </c>
      <c r="E17" t="s">
        <v>2</v>
      </c>
      <c r="F17" t="s">
        <v>15</v>
      </c>
      <c r="G17" t="s">
        <v>14</v>
      </c>
      <c r="H17">
        <v>21</v>
      </c>
      <c r="I17" s="2">
        <v>839.79000000000008</v>
      </c>
      <c r="J17" s="2">
        <v>105</v>
      </c>
    </row>
    <row r="18" spans="1:10" x14ac:dyDescent="0.35">
      <c r="A18">
        <v>2021</v>
      </c>
      <c r="B18">
        <v>9</v>
      </c>
      <c r="C18" t="s">
        <v>56</v>
      </c>
      <c r="D18" t="s">
        <v>4</v>
      </c>
      <c r="E18" t="s">
        <v>2</v>
      </c>
      <c r="F18" t="s">
        <v>42</v>
      </c>
      <c r="G18" t="s">
        <v>12</v>
      </c>
      <c r="H18">
        <v>114</v>
      </c>
      <c r="I18" s="2">
        <v>1822.8600000000001</v>
      </c>
      <c r="J18" s="2">
        <v>228</v>
      </c>
    </row>
    <row r="19" spans="1:10" x14ac:dyDescent="0.35">
      <c r="A19">
        <v>2021</v>
      </c>
      <c r="B19">
        <v>9</v>
      </c>
      <c r="C19" t="s">
        <v>56</v>
      </c>
      <c r="D19" t="s">
        <v>4</v>
      </c>
      <c r="E19" t="s">
        <v>2</v>
      </c>
      <c r="F19" t="s">
        <v>22</v>
      </c>
      <c r="G19" t="s">
        <v>7</v>
      </c>
      <c r="H19">
        <v>55</v>
      </c>
      <c r="I19" s="2">
        <v>549.45000000000005</v>
      </c>
      <c r="J19" s="2">
        <v>165</v>
      </c>
    </row>
    <row r="20" spans="1:10" x14ac:dyDescent="0.35">
      <c r="A20">
        <v>2021</v>
      </c>
      <c r="B20">
        <v>9</v>
      </c>
      <c r="C20" t="s">
        <v>56</v>
      </c>
      <c r="D20" t="s">
        <v>4</v>
      </c>
      <c r="E20" t="s">
        <v>2</v>
      </c>
      <c r="F20" t="s">
        <v>19</v>
      </c>
      <c r="G20" t="s">
        <v>9</v>
      </c>
      <c r="H20">
        <v>9</v>
      </c>
      <c r="I20" s="2">
        <v>179.91</v>
      </c>
      <c r="J20" s="2">
        <v>53.999999999999986</v>
      </c>
    </row>
    <row r="21" spans="1:10" x14ac:dyDescent="0.35">
      <c r="A21">
        <v>2021</v>
      </c>
      <c r="B21">
        <v>9</v>
      </c>
      <c r="C21" t="s">
        <v>56</v>
      </c>
      <c r="D21" t="s">
        <v>4</v>
      </c>
      <c r="E21" t="s">
        <v>2</v>
      </c>
      <c r="F21" t="s">
        <v>41</v>
      </c>
      <c r="G21" t="s">
        <v>14</v>
      </c>
      <c r="H21">
        <v>17</v>
      </c>
      <c r="I21" s="2">
        <v>169.83</v>
      </c>
      <c r="J21" s="2">
        <v>85</v>
      </c>
    </row>
    <row r="22" spans="1:10" x14ac:dyDescent="0.35">
      <c r="A22">
        <v>2021</v>
      </c>
      <c r="B22">
        <v>9</v>
      </c>
      <c r="C22" t="s">
        <v>56</v>
      </c>
      <c r="D22" t="s">
        <v>4</v>
      </c>
      <c r="E22" t="s">
        <v>2</v>
      </c>
      <c r="F22" t="s">
        <v>10</v>
      </c>
      <c r="G22" t="s">
        <v>7</v>
      </c>
      <c r="H22">
        <v>67</v>
      </c>
      <c r="I22" s="2">
        <v>1339.33</v>
      </c>
      <c r="J22" s="2">
        <v>334.99999999999989</v>
      </c>
    </row>
    <row r="23" spans="1:10" x14ac:dyDescent="0.35">
      <c r="A23">
        <v>2021</v>
      </c>
      <c r="B23">
        <v>9</v>
      </c>
      <c r="C23" t="s">
        <v>56</v>
      </c>
      <c r="D23" t="s">
        <v>4</v>
      </c>
      <c r="E23" t="s">
        <v>2</v>
      </c>
      <c r="F23" t="s">
        <v>27</v>
      </c>
      <c r="G23" t="s">
        <v>12</v>
      </c>
      <c r="H23">
        <v>81</v>
      </c>
      <c r="I23" s="2">
        <v>242.19000000000003</v>
      </c>
      <c r="J23" s="2">
        <v>81.000000000000014</v>
      </c>
    </row>
    <row r="24" spans="1:10" x14ac:dyDescent="0.35">
      <c r="A24">
        <v>2021</v>
      </c>
      <c r="B24">
        <v>9</v>
      </c>
      <c r="C24" t="s">
        <v>56</v>
      </c>
      <c r="D24" t="s">
        <v>4</v>
      </c>
      <c r="E24" t="s">
        <v>2</v>
      </c>
      <c r="F24" t="s">
        <v>11</v>
      </c>
      <c r="G24" t="s">
        <v>12</v>
      </c>
      <c r="H24">
        <v>24</v>
      </c>
      <c r="I24" s="2">
        <v>119.76</v>
      </c>
      <c r="J24" s="2">
        <v>24</v>
      </c>
    </row>
    <row r="25" spans="1:10" x14ac:dyDescent="0.35">
      <c r="A25">
        <v>2021</v>
      </c>
      <c r="B25">
        <v>9</v>
      </c>
      <c r="C25" t="s">
        <v>56</v>
      </c>
      <c r="D25" t="s">
        <v>4</v>
      </c>
      <c r="E25" t="s">
        <v>2</v>
      </c>
      <c r="F25" t="s">
        <v>45</v>
      </c>
      <c r="G25" t="s">
        <v>12</v>
      </c>
      <c r="H25">
        <v>113</v>
      </c>
      <c r="I25" s="2">
        <v>1241.8700000000001</v>
      </c>
      <c r="J25" s="2">
        <v>791</v>
      </c>
    </row>
    <row r="26" spans="1:10" x14ac:dyDescent="0.35">
      <c r="A26">
        <v>2021</v>
      </c>
      <c r="B26">
        <v>9</v>
      </c>
      <c r="C26" t="s">
        <v>56</v>
      </c>
      <c r="D26" t="s">
        <v>4</v>
      </c>
      <c r="E26" t="s">
        <v>2</v>
      </c>
      <c r="F26" t="s">
        <v>39</v>
      </c>
      <c r="G26" t="s">
        <v>14</v>
      </c>
      <c r="H26">
        <v>11</v>
      </c>
      <c r="I26" s="2">
        <v>219.89</v>
      </c>
      <c r="J26" s="2">
        <v>120.99999999999999</v>
      </c>
    </row>
    <row r="27" spans="1:10" x14ac:dyDescent="0.35">
      <c r="A27">
        <v>2021</v>
      </c>
      <c r="B27">
        <v>9</v>
      </c>
      <c r="C27" t="s">
        <v>56</v>
      </c>
      <c r="D27" t="s">
        <v>4</v>
      </c>
      <c r="E27" t="s">
        <v>2</v>
      </c>
      <c r="F27" t="s">
        <v>6</v>
      </c>
      <c r="G27" t="s">
        <v>7</v>
      </c>
      <c r="H27">
        <v>29</v>
      </c>
      <c r="I27" s="2">
        <v>260.70999999999998</v>
      </c>
      <c r="J27" s="2">
        <v>29</v>
      </c>
    </row>
    <row r="28" spans="1:10" x14ac:dyDescent="0.35">
      <c r="A28">
        <v>2021</v>
      </c>
      <c r="B28">
        <v>9</v>
      </c>
      <c r="C28" t="s">
        <v>56</v>
      </c>
      <c r="D28" t="s">
        <v>4</v>
      </c>
      <c r="E28" t="s">
        <v>2</v>
      </c>
      <c r="F28" t="s">
        <v>23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35">
      <c r="A29">
        <v>2021</v>
      </c>
      <c r="B29">
        <v>9</v>
      </c>
      <c r="C29" t="s">
        <v>59</v>
      </c>
      <c r="D29" t="s">
        <v>4</v>
      </c>
      <c r="E29" t="s">
        <v>1</v>
      </c>
      <c r="F29" t="s">
        <v>13</v>
      </c>
      <c r="G29" t="s">
        <v>14</v>
      </c>
      <c r="H29">
        <v>34</v>
      </c>
      <c r="I29" s="2">
        <v>543.66</v>
      </c>
      <c r="J29" s="2">
        <v>204</v>
      </c>
    </row>
    <row r="30" spans="1:10" x14ac:dyDescent="0.35">
      <c r="A30">
        <v>2021</v>
      </c>
      <c r="B30">
        <v>9</v>
      </c>
      <c r="C30" t="s">
        <v>59</v>
      </c>
      <c r="D30" t="s">
        <v>4</v>
      </c>
      <c r="E30" t="s">
        <v>1</v>
      </c>
      <c r="F30" t="s">
        <v>24</v>
      </c>
      <c r="G30" t="s">
        <v>14</v>
      </c>
      <c r="H30">
        <v>84</v>
      </c>
      <c r="I30" s="2">
        <v>1091.1600000000001</v>
      </c>
      <c r="J30" s="2">
        <v>252</v>
      </c>
    </row>
    <row r="31" spans="1:10" x14ac:dyDescent="0.35">
      <c r="A31">
        <v>2021</v>
      </c>
      <c r="B31">
        <v>9</v>
      </c>
      <c r="C31" t="s">
        <v>59</v>
      </c>
      <c r="D31" t="s">
        <v>4</v>
      </c>
      <c r="E31" t="s">
        <v>1</v>
      </c>
      <c r="F31" t="s">
        <v>34</v>
      </c>
      <c r="G31" t="s">
        <v>12</v>
      </c>
      <c r="H31">
        <v>125</v>
      </c>
      <c r="I31" s="2">
        <v>498.75</v>
      </c>
      <c r="J31" s="2">
        <v>250</v>
      </c>
    </row>
    <row r="32" spans="1:10" x14ac:dyDescent="0.35">
      <c r="A32">
        <v>2021</v>
      </c>
      <c r="B32">
        <v>9</v>
      </c>
      <c r="C32" t="s">
        <v>59</v>
      </c>
      <c r="D32" t="s">
        <v>4</v>
      </c>
      <c r="E32" t="s">
        <v>1</v>
      </c>
      <c r="F32" t="s">
        <v>20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35">
      <c r="A33">
        <v>2021</v>
      </c>
      <c r="B33">
        <v>9</v>
      </c>
      <c r="C33" t="s">
        <v>59</v>
      </c>
      <c r="D33" t="s">
        <v>4</v>
      </c>
      <c r="E33" t="s">
        <v>1</v>
      </c>
      <c r="F33" t="s">
        <v>25</v>
      </c>
      <c r="G33" t="s">
        <v>7</v>
      </c>
      <c r="H33">
        <v>17</v>
      </c>
      <c r="I33" s="2">
        <v>271.83</v>
      </c>
      <c r="J33" s="2">
        <v>68</v>
      </c>
    </row>
    <row r="34" spans="1:10" x14ac:dyDescent="0.35">
      <c r="A34">
        <v>2021</v>
      </c>
      <c r="B34">
        <v>9</v>
      </c>
      <c r="C34" t="s">
        <v>59</v>
      </c>
      <c r="D34" t="s">
        <v>4</v>
      </c>
      <c r="E34" t="s">
        <v>1</v>
      </c>
      <c r="F34" t="s">
        <v>8</v>
      </c>
      <c r="G34" t="s">
        <v>9</v>
      </c>
      <c r="H34">
        <v>141</v>
      </c>
      <c r="I34" s="2">
        <v>985.59</v>
      </c>
      <c r="J34" s="2">
        <v>423</v>
      </c>
    </row>
    <row r="35" spans="1:10" x14ac:dyDescent="0.35">
      <c r="A35">
        <v>2021</v>
      </c>
      <c r="B35">
        <v>9</v>
      </c>
      <c r="C35" t="s">
        <v>59</v>
      </c>
      <c r="D35" t="s">
        <v>4</v>
      </c>
      <c r="E35" t="s">
        <v>1</v>
      </c>
      <c r="F35" t="s">
        <v>17</v>
      </c>
      <c r="G35" t="s">
        <v>14</v>
      </c>
      <c r="H35">
        <v>66</v>
      </c>
      <c r="I35" s="2">
        <v>725.34</v>
      </c>
      <c r="J35" s="2">
        <v>66</v>
      </c>
    </row>
    <row r="36" spans="1:10" x14ac:dyDescent="0.35">
      <c r="A36">
        <v>2021</v>
      </c>
      <c r="B36">
        <v>9</v>
      </c>
      <c r="C36" t="s">
        <v>59</v>
      </c>
      <c r="D36" t="s">
        <v>4</v>
      </c>
      <c r="E36" t="s">
        <v>1</v>
      </c>
      <c r="F36" t="s">
        <v>28</v>
      </c>
      <c r="G36" t="s">
        <v>14</v>
      </c>
      <c r="H36">
        <v>8</v>
      </c>
      <c r="I36" s="2">
        <v>119.92</v>
      </c>
      <c r="J36" s="2">
        <v>32</v>
      </c>
    </row>
    <row r="37" spans="1:10" x14ac:dyDescent="0.35">
      <c r="A37">
        <v>2021</v>
      </c>
      <c r="B37">
        <v>9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35">
      <c r="A38">
        <v>2021</v>
      </c>
      <c r="B38">
        <v>9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9</v>
      </c>
      <c r="I38" s="2">
        <v>98.91</v>
      </c>
      <c r="J38" s="2">
        <v>45</v>
      </c>
    </row>
    <row r="39" spans="1:10" x14ac:dyDescent="0.35">
      <c r="A39">
        <v>2021</v>
      </c>
      <c r="B39">
        <v>9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38</v>
      </c>
      <c r="I39" s="2">
        <v>227.62</v>
      </c>
      <c r="J39" s="2">
        <v>76</v>
      </c>
    </row>
    <row r="40" spans="1:10" x14ac:dyDescent="0.35">
      <c r="A40">
        <v>2021</v>
      </c>
      <c r="B40">
        <v>9</v>
      </c>
      <c r="C40" t="s">
        <v>59</v>
      </c>
      <c r="D40" t="s">
        <v>4</v>
      </c>
      <c r="E40" t="s">
        <v>1</v>
      </c>
      <c r="F40" t="s">
        <v>15</v>
      </c>
      <c r="G40" t="s">
        <v>14</v>
      </c>
      <c r="H40">
        <v>4</v>
      </c>
      <c r="I40" s="2">
        <v>159.96</v>
      </c>
      <c r="J40" s="2">
        <v>20</v>
      </c>
    </row>
    <row r="41" spans="1:10" x14ac:dyDescent="0.35">
      <c r="A41">
        <v>2021</v>
      </c>
      <c r="B41">
        <v>9</v>
      </c>
      <c r="C41" t="s">
        <v>59</v>
      </c>
      <c r="D41" t="s">
        <v>4</v>
      </c>
      <c r="E41" t="s">
        <v>1</v>
      </c>
      <c r="F41" t="s">
        <v>42</v>
      </c>
      <c r="G41" t="s">
        <v>12</v>
      </c>
      <c r="H41">
        <v>147</v>
      </c>
      <c r="I41" s="2">
        <v>2350.5300000000002</v>
      </c>
      <c r="J41" s="2">
        <v>294</v>
      </c>
    </row>
    <row r="42" spans="1:10" x14ac:dyDescent="0.35">
      <c r="A42">
        <v>2021</v>
      </c>
      <c r="B42">
        <v>9</v>
      </c>
      <c r="C42" t="s">
        <v>59</v>
      </c>
      <c r="D42" t="s">
        <v>4</v>
      </c>
      <c r="E42" t="s">
        <v>1</v>
      </c>
      <c r="F42" t="s">
        <v>22</v>
      </c>
      <c r="G42" t="s">
        <v>7</v>
      </c>
      <c r="H42">
        <v>5</v>
      </c>
      <c r="I42" s="2">
        <v>49.95</v>
      </c>
      <c r="J42" s="2">
        <v>15</v>
      </c>
    </row>
    <row r="43" spans="1:10" x14ac:dyDescent="0.35">
      <c r="A43">
        <v>2021</v>
      </c>
      <c r="B43">
        <v>9</v>
      </c>
      <c r="C43" t="s">
        <v>59</v>
      </c>
      <c r="D43" t="s">
        <v>4</v>
      </c>
      <c r="E43" t="s">
        <v>1</v>
      </c>
      <c r="F43" t="s">
        <v>41</v>
      </c>
      <c r="G43" t="s">
        <v>14</v>
      </c>
      <c r="H43">
        <v>9</v>
      </c>
      <c r="I43" s="2">
        <v>89.91</v>
      </c>
      <c r="J43" s="2">
        <v>45</v>
      </c>
    </row>
    <row r="44" spans="1:10" x14ac:dyDescent="0.35">
      <c r="A44">
        <v>2021</v>
      </c>
      <c r="B44">
        <v>9</v>
      </c>
      <c r="C44" t="s">
        <v>59</v>
      </c>
      <c r="D44" t="s">
        <v>4</v>
      </c>
      <c r="E44" t="s">
        <v>1</v>
      </c>
      <c r="F44" t="s">
        <v>10</v>
      </c>
      <c r="G44" t="s">
        <v>7</v>
      </c>
      <c r="H44">
        <v>15</v>
      </c>
      <c r="I44" s="2">
        <v>299.84999999999997</v>
      </c>
      <c r="J44" s="2">
        <v>74.999999999999972</v>
      </c>
    </row>
    <row r="45" spans="1:10" x14ac:dyDescent="0.35">
      <c r="A45">
        <v>2021</v>
      </c>
      <c r="B45">
        <v>9</v>
      </c>
      <c r="C45" t="s">
        <v>59</v>
      </c>
      <c r="D45" t="s">
        <v>4</v>
      </c>
      <c r="E45" t="s">
        <v>1</v>
      </c>
      <c r="F45" t="s">
        <v>27</v>
      </c>
      <c r="G45" t="s">
        <v>12</v>
      </c>
      <c r="H45">
        <v>36</v>
      </c>
      <c r="I45" s="2">
        <v>107.64000000000001</v>
      </c>
      <c r="J45" s="2">
        <v>36.000000000000007</v>
      </c>
    </row>
    <row r="46" spans="1:10" x14ac:dyDescent="0.35">
      <c r="A46">
        <v>2021</v>
      </c>
      <c r="B46">
        <v>9</v>
      </c>
      <c r="C46" t="s">
        <v>59</v>
      </c>
      <c r="D46" t="s">
        <v>4</v>
      </c>
      <c r="E46" t="s">
        <v>1</v>
      </c>
      <c r="F46" t="s">
        <v>11</v>
      </c>
      <c r="G46" t="s">
        <v>12</v>
      </c>
      <c r="H46">
        <v>33</v>
      </c>
      <c r="I46" s="2">
        <v>164.67000000000002</v>
      </c>
      <c r="J46" s="2">
        <v>33</v>
      </c>
    </row>
    <row r="47" spans="1:10" x14ac:dyDescent="0.35">
      <c r="A47">
        <v>2021</v>
      </c>
      <c r="B47">
        <v>9</v>
      </c>
      <c r="C47" t="s">
        <v>59</v>
      </c>
      <c r="D47" t="s">
        <v>4</v>
      </c>
      <c r="E47" t="s">
        <v>1</v>
      </c>
      <c r="F47" t="s">
        <v>45</v>
      </c>
      <c r="G47" t="s">
        <v>12</v>
      </c>
      <c r="H47">
        <v>48</v>
      </c>
      <c r="I47" s="2">
        <v>527.52</v>
      </c>
      <c r="J47" s="2">
        <v>336</v>
      </c>
    </row>
    <row r="48" spans="1:10" x14ac:dyDescent="0.35">
      <c r="A48">
        <v>2021</v>
      </c>
      <c r="B48">
        <v>9</v>
      </c>
      <c r="C48" t="s">
        <v>59</v>
      </c>
      <c r="D48" t="s">
        <v>4</v>
      </c>
      <c r="E48" t="s">
        <v>1</v>
      </c>
      <c r="F48" t="s">
        <v>39</v>
      </c>
      <c r="G48" t="s">
        <v>14</v>
      </c>
      <c r="H48">
        <v>8</v>
      </c>
      <c r="I48" s="2">
        <v>159.91999999999999</v>
      </c>
      <c r="J48" s="2">
        <v>87.999999999999986</v>
      </c>
    </row>
    <row r="49" spans="1:10" x14ac:dyDescent="0.35">
      <c r="A49">
        <v>2021</v>
      </c>
      <c r="B49">
        <v>9</v>
      </c>
      <c r="C49" t="s">
        <v>59</v>
      </c>
      <c r="D49" t="s">
        <v>4</v>
      </c>
      <c r="E49" t="s">
        <v>1</v>
      </c>
      <c r="F49" t="s">
        <v>26</v>
      </c>
      <c r="G49" t="s">
        <v>9</v>
      </c>
      <c r="H49">
        <v>27</v>
      </c>
      <c r="I49" s="2">
        <v>539.7299999999999</v>
      </c>
      <c r="J49" s="2">
        <v>54</v>
      </c>
    </row>
    <row r="50" spans="1:10" x14ac:dyDescent="0.35">
      <c r="A50">
        <v>2021</v>
      </c>
      <c r="B50">
        <v>9</v>
      </c>
      <c r="C50" t="s">
        <v>59</v>
      </c>
      <c r="D50" t="s">
        <v>4</v>
      </c>
      <c r="E50" t="s">
        <v>1</v>
      </c>
      <c r="F50" t="s">
        <v>6</v>
      </c>
      <c r="G50" t="s">
        <v>7</v>
      </c>
      <c r="H50">
        <v>49</v>
      </c>
      <c r="I50" s="2">
        <v>440.51</v>
      </c>
      <c r="J50" s="2">
        <v>49</v>
      </c>
    </row>
    <row r="51" spans="1:10" x14ac:dyDescent="0.35">
      <c r="A51">
        <v>2021</v>
      </c>
      <c r="B51">
        <v>9</v>
      </c>
      <c r="C51" t="s">
        <v>62</v>
      </c>
      <c r="D51" t="s">
        <v>5</v>
      </c>
      <c r="E51" t="s">
        <v>0</v>
      </c>
      <c r="F51" t="s">
        <v>13</v>
      </c>
      <c r="G51" t="s">
        <v>14</v>
      </c>
      <c r="H51">
        <v>64</v>
      </c>
      <c r="I51" s="2">
        <v>1023.36</v>
      </c>
      <c r="J51" s="2">
        <v>384</v>
      </c>
    </row>
    <row r="52" spans="1:10" x14ac:dyDescent="0.35">
      <c r="A52">
        <v>2021</v>
      </c>
      <c r="B52">
        <v>9</v>
      </c>
      <c r="C52" t="s">
        <v>62</v>
      </c>
      <c r="D52" t="s">
        <v>5</v>
      </c>
      <c r="E52" t="s">
        <v>0</v>
      </c>
      <c r="F52" t="s">
        <v>24</v>
      </c>
      <c r="G52" t="s">
        <v>14</v>
      </c>
      <c r="H52">
        <v>66</v>
      </c>
      <c r="I52" s="2">
        <v>857.34</v>
      </c>
      <c r="J52" s="2">
        <v>198</v>
      </c>
    </row>
    <row r="53" spans="1:10" x14ac:dyDescent="0.35">
      <c r="A53">
        <v>2021</v>
      </c>
      <c r="B53">
        <v>9</v>
      </c>
      <c r="C53" t="s">
        <v>62</v>
      </c>
      <c r="D53" t="s">
        <v>5</v>
      </c>
      <c r="E53" t="s">
        <v>0</v>
      </c>
      <c r="F53" t="s">
        <v>34</v>
      </c>
      <c r="G53" t="s">
        <v>12</v>
      </c>
      <c r="H53">
        <v>177</v>
      </c>
      <c r="I53" s="2">
        <v>706.23</v>
      </c>
      <c r="J53" s="2">
        <v>354</v>
      </c>
    </row>
    <row r="54" spans="1:10" x14ac:dyDescent="0.35">
      <c r="A54">
        <v>2021</v>
      </c>
      <c r="B54">
        <v>9</v>
      </c>
      <c r="C54" t="s">
        <v>62</v>
      </c>
      <c r="D54" t="s">
        <v>5</v>
      </c>
      <c r="E54" t="s">
        <v>0</v>
      </c>
      <c r="F54" t="s">
        <v>30</v>
      </c>
      <c r="G54" t="s">
        <v>9</v>
      </c>
      <c r="H54">
        <v>11</v>
      </c>
      <c r="I54" s="2">
        <v>109.89</v>
      </c>
      <c r="J54" s="2">
        <v>22</v>
      </c>
    </row>
    <row r="55" spans="1:10" x14ac:dyDescent="0.35">
      <c r="A55">
        <v>2021</v>
      </c>
      <c r="B55">
        <v>9</v>
      </c>
      <c r="C55" t="s">
        <v>62</v>
      </c>
      <c r="D55" t="s">
        <v>5</v>
      </c>
      <c r="E55" t="s">
        <v>0</v>
      </c>
      <c r="F55" t="s">
        <v>20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35">
      <c r="A56">
        <v>2021</v>
      </c>
      <c r="B56">
        <v>9</v>
      </c>
      <c r="C56" t="s">
        <v>62</v>
      </c>
      <c r="D56" t="s">
        <v>5</v>
      </c>
      <c r="E56" t="s">
        <v>0</v>
      </c>
      <c r="F56" t="s">
        <v>25</v>
      </c>
      <c r="G56" t="s">
        <v>7</v>
      </c>
      <c r="H56">
        <v>71</v>
      </c>
      <c r="I56" s="2">
        <v>1135.29</v>
      </c>
      <c r="J56" s="2">
        <v>284</v>
      </c>
    </row>
    <row r="57" spans="1:10" x14ac:dyDescent="0.35">
      <c r="A57">
        <v>2021</v>
      </c>
      <c r="B57">
        <v>9</v>
      </c>
      <c r="C57" t="s">
        <v>62</v>
      </c>
      <c r="D57" t="s">
        <v>5</v>
      </c>
      <c r="E57" t="s">
        <v>0</v>
      </c>
      <c r="F57" t="s">
        <v>8</v>
      </c>
      <c r="G57" t="s">
        <v>9</v>
      </c>
      <c r="H57">
        <v>150</v>
      </c>
      <c r="I57" s="2">
        <v>1048.5</v>
      </c>
      <c r="J57" s="2">
        <v>450</v>
      </c>
    </row>
    <row r="58" spans="1:10" x14ac:dyDescent="0.35">
      <c r="A58">
        <v>2021</v>
      </c>
      <c r="B58">
        <v>9</v>
      </c>
      <c r="C58" t="s">
        <v>62</v>
      </c>
      <c r="D58" t="s">
        <v>5</v>
      </c>
      <c r="E58" t="s">
        <v>0</v>
      </c>
      <c r="F58" t="s">
        <v>17</v>
      </c>
      <c r="G58" t="s">
        <v>14</v>
      </c>
      <c r="H58">
        <v>39</v>
      </c>
      <c r="I58" s="2">
        <v>428.61</v>
      </c>
      <c r="J58" s="2">
        <v>39</v>
      </c>
    </row>
    <row r="59" spans="1:10" x14ac:dyDescent="0.35">
      <c r="A59">
        <v>2021</v>
      </c>
      <c r="B59">
        <v>9</v>
      </c>
      <c r="C59" t="s">
        <v>62</v>
      </c>
      <c r="D59" t="s">
        <v>5</v>
      </c>
      <c r="E59" t="s">
        <v>0</v>
      </c>
      <c r="F59" t="s">
        <v>28</v>
      </c>
      <c r="G59" t="s">
        <v>14</v>
      </c>
      <c r="H59">
        <v>56</v>
      </c>
      <c r="I59" s="2">
        <v>839.44</v>
      </c>
      <c r="J59" s="2">
        <v>224</v>
      </c>
    </row>
    <row r="60" spans="1:10" x14ac:dyDescent="0.35">
      <c r="A60">
        <v>2021</v>
      </c>
      <c r="B60">
        <v>9</v>
      </c>
      <c r="C60" t="s">
        <v>62</v>
      </c>
      <c r="D60" t="s">
        <v>5</v>
      </c>
      <c r="E60" t="s">
        <v>0</v>
      </c>
      <c r="F60" t="s">
        <v>43</v>
      </c>
      <c r="G60" t="s">
        <v>12</v>
      </c>
      <c r="H60">
        <v>9</v>
      </c>
      <c r="I60" s="2">
        <v>188.91</v>
      </c>
      <c r="J60" s="2">
        <v>89.999999999999986</v>
      </c>
    </row>
    <row r="61" spans="1:10" x14ac:dyDescent="0.35">
      <c r="A61">
        <v>2021</v>
      </c>
      <c r="B61">
        <v>9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35">
      <c r="A62">
        <v>2021</v>
      </c>
      <c r="B62">
        <v>9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47</v>
      </c>
      <c r="I62" s="2">
        <v>516.53</v>
      </c>
      <c r="J62" s="2">
        <v>235</v>
      </c>
    </row>
    <row r="63" spans="1:10" x14ac:dyDescent="0.35">
      <c r="A63">
        <v>2021</v>
      </c>
      <c r="B63">
        <v>9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5">
      <c r="A64">
        <v>2021</v>
      </c>
      <c r="B64">
        <v>9</v>
      </c>
      <c r="C64" t="s">
        <v>62</v>
      </c>
      <c r="D64" t="s">
        <v>5</v>
      </c>
      <c r="E64" t="s">
        <v>0</v>
      </c>
      <c r="F64" t="s">
        <v>31</v>
      </c>
      <c r="G64" t="s">
        <v>12</v>
      </c>
      <c r="H64">
        <v>21</v>
      </c>
      <c r="I64" s="2">
        <v>419.78999999999996</v>
      </c>
      <c r="J64" s="2">
        <v>125.99999999999996</v>
      </c>
    </row>
    <row r="65" spans="1:10" x14ac:dyDescent="0.35">
      <c r="A65">
        <v>2021</v>
      </c>
      <c r="B65">
        <v>9</v>
      </c>
      <c r="C65" t="s">
        <v>62</v>
      </c>
      <c r="D65" t="s">
        <v>5</v>
      </c>
      <c r="E65" t="s">
        <v>0</v>
      </c>
      <c r="F65" t="s">
        <v>15</v>
      </c>
      <c r="G65" t="s">
        <v>14</v>
      </c>
      <c r="H65">
        <v>98</v>
      </c>
      <c r="I65" s="2">
        <v>3919.02</v>
      </c>
      <c r="J65" s="2">
        <v>490</v>
      </c>
    </row>
    <row r="66" spans="1:10" x14ac:dyDescent="0.35">
      <c r="A66">
        <v>2021</v>
      </c>
      <c r="B66">
        <v>9</v>
      </c>
      <c r="C66" t="s">
        <v>62</v>
      </c>
      <c r="D66" t="s">
        <v>5</v>
      </c>
      <c r="E66" t="s">
        <v>0</v>
      </c>
      <c r="F66" t="s">
        <v>42</v>
      </c>
      <c r="G66" t="s">
        <v>12</v>
      </c>
      <c r="H66">
        <v>164</v>
      </c>
      <c r="I66" s="2">
        <v>2622.36</v>
      </c>
      <c r="J66" s="2">
        <v>328</v>
      </c>
    </row>
    <row r="67" spans="1:10" x14ac:dyDescent="0.35">
      <c r="A67">
        <v>2021</v>
      </c>
      <c r="B67">
        <v>9</v>
      </c>
      <c r="C67" t="s">
        <v>62</v>
      </c>
      <c r="D67" t="s">
        <v>5</v>
      </c>
      <c r="E67" t="s">
        <v>0</v>
      </c>
      <c r="F67" t="s">
        <v>22</v>
      </c>
      <c r="G67" t="s">
        <v>7</v>
      </c>
      <c r="H67">
        <v>51</v>
      </c>
      <c r="I67" s="2">
        <v>509.49</v>
      </c>
      <c r="J67" s="2">
        <v>153</v>
      </c>
    </row>
    <row r="68" spans="1:10" x14ac:dyDescent="0.35">
      <c r="A68">
        <v>2021</v>
      </c>
      <c r="B68">
        <v>9</v>
      </c>
      <c r="C68" t="s">
        <v>62</v>
      </c>
      <c r="D68" t="s">
        <v>5</v>
      </c>
      <c r="E68" t="s">
        <v>0</v>
      </c>
      <c r="F68" t="s">
        <v>19</v>
      </c>
      <c r="G68" t="s">
        <v>9</v>
      </c>
      <c r="H68">
        <v>12</v>
      </c>
      <c r="I68" s="2">
        <v>239.88</v>
      </c>
      <c r="J68" s="2">
        <v>71.999999999999972</v>
      </c>
    </row>
    <row r="69" spans="1:10" x14ac:dyDescent="0.35">
      <c r="A69">
        <v>2021</v>
      </c>
      <c r="B69">
        <v>9</v>
      </c>
      <c r="C69" t="s">
        <v>62</v>
      </c>
      <c r="D69" t="s">
        <v>5</v>
      </c>
      <c r="E69" t="s">
        <v>0</v>
      </c>
      <c r="F69" t="s">
        <v>41</v>
      </c>
      <c r="G69" t="s">
        <v>14</v>
      </c>
      <c r="H69">
        <v>17</v>
      </c>
      <c r="I69" s="2">
        <v>169.83</v>
      </c>
      <c r="J69" s="2">
        <v>85</v>
      </c>
    </row>
    <row r="70" spans="1:10" x14ac:dyDescent="0.35">
      <c r="A70">
        <v>2021</v>
      </c>
      <c r="B70">
        <v>9</v>
      </c>
      <c r="C70" t="s">
        <v>62</v>
      </c>
      <c r="D70" t="s">
        <v>5</v>
      </c>
      <c r="E70" t="s">
        <v>0</v>
      </c>
      <c r="F70" t="s">
        <v>10</v>
      </c>
      <c r="G70" t="s">
        <v>7</v>
      </c>
      <c r="H70">
        <v>6</v>
      </c>
      <c r="I70" s="2">
        <v>119.94</v>
      </c>
      <c r="J70" s="2">
        <v>29.999999999999989</v>
      </c>
    </row>
    <row r="71" spans="1:10" x14ac:dyDescent="0.35">
      <c r="A71">
        <v>2021</v>
      </c>
      <c r="B71">
        <v>9</v>
      </c>
      <c r="C71" t="s">
        <v>62</v>
      </c>
      <c r="D71" t="s">
        <v>5</v>
      </c>
      <c r="E71" t="s">
        <v>0</v>
      </c>
      <c r="F71" t="s">
        <v>27</v>
      </c>
      <c r="G71" t="s">
        <v>12</v>
      </c>
      <c r="H71">
        <v>263</v>
      </c>
      <c r="I71" s="2">
        <v>786.37</v>
      </c>
      <c r="J71" s="2">
        <v>263.00000000000006</v>
      </c>
    </row>
    <row r="72" spans="1:10" x14ac:dyDescent="0.35">
      <c r="A72">
        <v>2021</v>
      </c>
      <c r="B72">
        <v>9</v>
      </c>
      <c r="C72" t="s">
        <v>62</v>
      </c>
      <c r="D72" t="s">
        <v>5</v>
      </c>
      <c r="E72" t="s">
        <v>0</v>
      </c>
      <c r="F72" t="s">
        <v>37</v>
      </c>
      <c r="G72" t="s">
        <v>12</v>
      </c>
      <c r="H72">
        <v>5</v>
      </c>
      <c r="I72" s="2">
        <v>124.94999999999999</v>
      </c>
      <c r="J72" s="2">
        <v>20</v>
      </c>
    </row>
    <row r="73" spans="1:10" x14ac:dyDescent="0.35">
      <c r="A73">
        <v>2021</v>
      </c>
      <c r="B73">
        <v>9</v>
      </c>
      <c r="C73" t="s">
        <v>62</v>
      </c>
      <c r="D73" t="s">
        <v>5</v>
      </c>
      <c r="E73" t="s">
        <v>0</v>
      </c>
      <c r="F73" t="s">
        <v>11</v>
      </c>
      <c r="G73" t="s">
        <v>12</v>
      </c>
      <c r="H73">
        <v>6</v>
      </c>
      <c r="I73" s="2">
        <v>29.94</v>
      </c>
      <c r="J73" s="2">
        <v>6</v>
      </c>
    </row>
    <row r="74" spans="1:10" x14ac:dyDescent="0.35">
      <c r="A74">
        <v>2021</v>
      </c>
      <c r="B74">
        <v>9</v>
      </c>
      <c r="C74" t="s">
        <v>62</v>
      </c>
      <c r="D74" t="s">
        <v>5</v>
      </c>
      <c r="E74" t="s">
        <v>0</v>
      </c>
      <c r="F74" t="s">
        <v>45</v>
      </c>
      <c r="G74" t="s">
        <v>12</v>
      </c>
      <c r="H74">
        <v>85</v>
      </c>
      <c r="I74" s="2">
        <v>934.15</v>
      </c>
      <c r="J74" s="2">
        <v>595</v>
      </c>
    </row>
    <row r="75" spans="1:10" x14ac:dyDescent="0.35">
      <c r="A75">
        <v>2021</v>
      </c>
      <c r="B75">
        <v>9</v>
      </c>
      <c r="C75" t="s">
        <v>62</v>
      </c>
      <c r="D75" t="s">
        <v>5</v>
      </c>
      <c r="E75" t="s">
        <v>0</v>
      </c>
      <c r="F75" t="s">
        <v>26</v>
      </c>
      <c r="G75" t="s">
        <v>9</v>
      </c>
      <c r="H75">
        <v>11</v>
      </c>
      <c r="I75" s="2">
        <v>219.89</v>
      </c>
      <c r="J75" s="2">
        <v>22</v>
      </c>
    </row>
    <row r="76" spans="1:10" x14ac:dyDescent="0.35">
      <c r="A76">
        <v>2021</v>
      </c>
      <c r="B76">
        <v>9</v>
      </c>
      <c r="C76" t="s">
        <v>62</v>
      </c>
      <c r="D76" t="s">
        <v>5</v>
      </c>
      <c r="E76" t="s">
        <v>0</v>
      </c>
      <c r="F76" t="s">
        <v>6</v>
      </c>
      <c r="G76" t="s">
        <v>7</v>
      </c>
      <c r="H76">
        <v>3</v>
      </c>
      <c r="I76" s="2">
        <v>26.97</v>
      </c>
      <c r="J76" s="2">
        <v>3</v>
      </c>
    </row>
    <row r="77" spans="1:10" x14ac:dyDescent="0.35">
      <c r="A77">
        <v>2021</v>
      </c>
      <c r="B77">
        <v>9</v>
      </c>
      <c r="C77" t="s">
        <v>62</v>
      </c>
      <c r="D77" t="s">
        <v>5</v>
      </c>
      <c r="E77" t="s">
        <v>0</v>
      </c>
      <c r="F77" t="s">
        <v>23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35">
      <c r="A78">
        <v>2021</v>
      </c>
      <c r="B78">
        <v>9</v>
      </c>
      <c r="C78" t="s">
        <v>62</v>
      </c>
      <c r="D78" t="s">
        <v>5</v>
      </c>
      <c r="E78" t="s">
        <v>0</v>
      </c>
      <c r="F78" t="s">
        <v>29</v>
      </c>
      <c r="G78" t="s">
        <v>9</v>
      </c>
      <c r="H78">
        <v>8</v>
      </c>
      <c r="I78" s="2">
        <v>63.92</v>
      </c>
      <c r="J78" s="2">
        <v>32</v>
      </c>
    </row>
    <row r="79" spans="1:10" x14ac:dyDescent="0.35">
      <c r="A79">
        <v>2021</v>
      </c>
      <c r="B79">
        <v>9</v>
      </c>
      <c r="C79" t="s">
        <v>55</v>
      </c>
      <c r="D79" t="s">
        <v>48</v>
      </c>
      <c r="E79" t="s">
        <v>0</v>
      </c>
      <c r="F79" t="s">
        <v>13</v>
      </c>
      <c r="G79" t="s">
        <v>14</v>
      </c>
      <c r="H79">
        <v>86</v>
      </c>
      <c r="I79" s="2">
        <v>1375.14</v>
      </c>
      <c r="J79" s="2">
        <v>516</v>
      </c>
    </row>
    <row r="80" spans="1:10" x14ac:dyDescent="0.35">
      <c r="A80">
        <v>2021</v>
      </c>
      <c r="B80">
        <v>9</v>
      </c>
      <c r="C80" t="s">
        <v>55</v>
      </c>
      <c r="D80" t="s">
        <v>48</v>
      </c>
      <c r="E80" t="s">
        <v>0</v>
      </c>
      <c r="F80" t="s">
        <v>24</v>
      </c>
      <c r="G80" t="s">
        <v>14</v>
      </c>
      <c r="H80">
        <v>59</v>
      </c>
      <c r="I80" s="2">
        <v>766.41</v>
      </c>
      <c r="J80" s="2">
        <v>177</v>
      </c>
    </row>
    <row r="81" spans="1:10" x14ac:dyDescent="0.35">
      <c r="A81">
        <v>2021</v>
      </c>
      <c r="B81">
        <v>9</v>
      </c>
      <c r="C81" t="s">
        <v>55</v>
      </c>
      <c r="D81" t="s">
        <v>48</v>
      </c>
      <c r="E81" t="s">
        <v>0</v>
      </c>
      <c r="F81" t="s">
        <v>34</v>
      </c>
      <c r="G81" t="s">
        <v>12</v>
      </c>
      <c r="H81">
        <v>169</v>
      </c>
      <c r="I81" s="2">
        <v>674.31000000000006</v>
      </c>
      <c r="J81" s="2">
        <v>338</v>
      </c>
    </row>
    <row r="82" spans="1:10" x14ac:dyDescent="0.35">
      <c r="A82">
        <v>2021</v>
      </c>
      <c r="B82">
        <v>9</v>
      </c>
      <c r="C82" t="s">
        <v>55</v>
      </c>
      <c r="D82" t="s">
        <v>48</v>
      </c>
      <c r="E82" t="s">
        <v>0</v>
      </c>
      <c r="F82" t="s">
        <v>30</v>
      </c>
      <c r="G82" t="s">
        <v>9</v>
      </c>
      <c r="H82">
        <v>25</v>
      </c>
      <c r="I82" s="2">
        <v>249.75</v>
      </c>
      <c r="J82" s="2">
        <v>50</v>
      </c>
    </row>
    <row r="83" spans="1:10" x14ac:dyDescent="0.35">
      <c r="A83">
        <v>2021</v>
      </c>
      <c r="B83">
        <v>9</v>
      </c>
      <c r="C83" t="s">
        <v>55</v>
      </c>
      <c r="D83" t="s">
        <v>48</v>
      </c>
      <c r="E83" t="s">
        <v>0</v>
      </c>
      <c r="F83" t="s">
        <v>20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35">
      <c r="A84">
        <v>2021</v>
      </c>
      <c r="B84">
        <v>9</v>
      </c>
      <c r="C84" t="s">
        <v>55</v>
      </c>
      <c r="D84" t="s">
        <v>48</v>
      </c>
      <c r="E84" t="s">
        <v>0</v>
      </c>
      <c r="F84" t="s">
        <v>25</v>
      </c>
      <c r="G84" t="s">
        <v>7</v>
      </c>
      <c r="H84">
        <v>48</v>
      </c>
      <c r="I84" s="2">
        <v>767.52</v>
      </c>
      <c r="J84" s="2">
        <v>192</v>
      </c>
    </row>
    <row r="85" spans="1:10" x14ac:dyDescent="0.35">
      <c r="A85">
        <v>2021</v>
      </c>
      <c r="B85">
        <v>9</v>
      </c>
      <c r="C85" t="s">
        <v>55</v>
      </c>
      <c r="D85" t="s">
        <v>48</v>
      </c>
      <c r="E85" t="s">
        <v>0</v>
      </c>
      <c r="F85" t="s">
        <v>8</v>
      </c>
      <c r="G85" t="s">
        <v>9</v>
      </c>
      <c r="H85">
        <v>63</v>
      </c>
      <c r="I85" s="2">
        <v>440.37</v>
      </c>
      <c r="J85" s="2">
        <v>189</v>
      </c>
    </row>
    <row r="86" spans="1:10" x14ac:dyDescent="0.35">
      <c r="A86">
        <v>2021</v>
      </c>
      <c r="B86">
        <v>9</v>
      </c>
      <c r="C86" t="s">
        <v>55</v>
      </c>
      <c r="D86" t="s">
        <v>48</v>
      </c>
      <c r="E86" t="s">
        <v>0</v>
      </c>
      <c r="F86" t="s">
        <v>17</v>
      </c>
      <c r="G86" t="s">
        <v>14</v>
      </c>
      <c r="H86">
        <v>106</v>
      </c>
      <c r="I86" s="2">
        <v>1164.94</v>
      </c>
      <c r="J86" s="2">
        <v>106</v>
      </c>
    </row>
    <row r="87" spans="1:10" x14ac:dyDescent="0.35">
      <c r="A87">
        <v>2021</v>
      </c>
      <c r="B87">
        <v>9</v>
      </c>
      <c r="C87" t="s">
        <v>55</v>
      </c>
      <c r="D87" t="s">
        <v>48</v>
      </c>
      <c r="E87" t="s">
        <v>0</v>
      </c>
      <c r="F87" t="s">
        <v>28</v>
      </c>
      <c r="G87" t="s">
        <v>14</v>
      </c>
      <c r="H87">
        <v>39</v>
      </c>
      <c r="I87" s="2">
        <v>584.61</v>
      </c>
      <c r="J87" s="2">
        <v>156</v>
      </c>
    </row>
    <row r="88" spans="1:10" x14ac:dyDescent="0.35">
      <c r="A88">
        <v>2021</v>
      </c>
      <c r="B88">
        <v>9</v>
      </c>
      <c r="C88" t="s">
        <v>55</v>
      </c>
      <c r="D88" t="s">
        <v>48</v>
      </c>
      <c r="E88" t="s">
        <v>0</v>
      </c>
      <c r="F88" t="s">
        <v>43</v>
      </c>
      <c r="G88" t="s">
        <v>12</v>
      </c>
      <c r="H88">
        <v>3</v>
      </c>
      <c r="I88" s="2">
        <v>62.97</v>
      </c>
      <c r="J88" s="2">
        <v>29.999999999999993</v>
      </c>
    </row>
    <row r="89" spans="1:10" x14ac:dyDescent="0.35">
      <c r="A89">
        <v>2021</v>
      </c>
      <c r="B89">
        <v>9</v>
      </c>
      <c r="C89" t="s">
        <v>55</v>
      </c>
      <c r="D89" t="s">
        <v>48</v>
      </c>
      <c r="E89" t="s">
        <v>0</v>
      </c>
      <c r="F89" t="s">
        <v>32</v>
      </c>
      <c r="G89" t="s">
        <v>9</v>
      </c>
      <c r="H89">
        <v>29</v>
      </c>
      <c r="I89" s="2">
        <v>318.70999999999998</v>
      </c>
      <c r="J89" s="2">
        <v>145</v>
      </c>
    </row>
    <row r="90" spans="1:10" x14ac:dyDescent="0.35">
      <c r="A90">
        <v>2021</v>
      </c>
      <c r="B90">
        <v>9</v>
      </c>
      <c r="C90" t="s">
        <v>55</v>
      </c>
      <c r="D90" t="s">
        <v>48</v>
      </c>
      <c r="E90" t="s">
        <v>0</v>
      </c>
      <c r="F90" t="s">
        <v>35</v>
      </c>
      <c r="G90" t="s">
        <v>14</v>
      </c>
      <c r="H90">
        <v>55</v>
      </c>
      <c r="I90" s="2">
        <v>329.45</v>
      </c>
      <c r="J90" s="2">
        <v>110</v>
      </c>
    </row>
    <row r="91" spans="1:10" x14ac:dyDescent="0.35">
      <c r="A91">
        <v>2021</v>
      </c>
      <c r="B91">
        <v>9</v>
      </c>
      <c r="C91" t="s">
        <v>55</v>
      </c>
      <c r="D91" t="s">
        <v>48</v>
      </c>
      <c r="E91" t="s">
        <v>0</v>
      </c>
      <c r="F91" t="s">
        <v>38</v>
      </c>
      <c r="G91" t="s">
        <v>9</v>
      </c>
      <c r="H91">
        <v>2</v>
      </c>
      <c r="I91" s="2">
        <v>19.98</v>
      </c>
      <c r="J91" s="2">
        <v>14</v>
      </c>
    </row>
    <row r="92" spans="1:10" x14ac:dyDescent="0.35">
      <c r="A92">
        <v>2021</v>
      </c>
      <c r="B92">
        <v>9</v>
      </c>
      <c r="C92" t="s">
        <v>55</v>
      </c>
      <c r="D92" t="s">
        <v>48</v>
      </c>
      <c r="E92" t="s">
        <v>0</v>
      </c>
      <c r="F92" t="s">
        <v>31</v>
      </c>
      <c r="G92" t="s">
        <v>12</v>
      </c>
      <c r="H92">
        <v>29</v>
      </c>
      <c r="I92" s="2">
        <v>579.70999999999992</v>
      </c>
      <c r="J92" s="2">
        <v>173.99999999999994</v>
      </c>
    </row>
    <row r="93" spans="1:10" x14ac:dyDescent="0.35">
      <c r="A93">
        <v>2021</v>
      </c>
      <c r="B93">
        <v>9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80</v>
      </c>
      <c r="I93" s="2">
        <v>3199.2000000000003</v>
      </c>
      <c r="J93" s="2">
        <v>400</v>
      </c>
    </row>
    <row r="94" spans="1:10" x14ac:dyDescent="0.35">
      <c r="A94">
        <v>2021</v>
      </c>
      <c r="B94">
        <v>9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104</v>
      </c>
      <c r="I94" s="2">
        <v>1662.96</v>
      </c>
      <c r="J94" s="2">
        <v>208</v>
      </c>
    </row>
    <row r="95" spans="1:10" x14ac:dyDescent="0.35">
      <c r="A95">
        <v>2021</v>
      </c>
      <c r="B95">
        <v>9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69</v>
      </c>
      <c r="I95" s="2">
        <v>689.31000000000006</v>
      </c>
      <c r="J95" s="2">
        <v>207</v>
      </c>
    </row>
    <row r="96" spans="1:10" x14ac:dyDescent="0.35">
      <c r="A96">
        <v>2021</v>
      </c>
      <c r="B96">
        <v>9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9</v>
      </c>
      <c r="I96" s="2">
        <v>179.91</v>
      </c>
      <c r="J96" s="2">
        <v>53.999999999999986</v>
      </c>
    </row>
    <row r="97" spans="1:10" x14ac:dyDescent="0.35">
      <c r="A97">
        <v>2021</v>
      </c>
      <c r="B97">
        <v>9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21</v>
      </c>
      <c r="I97" s="2">
        <v>209.79</v>
      </c>
      <c r="J97" s="2">
        <v>105</v>
      </c>
    </row>
    <row r="98" spans="1:10" x14ac:dyDescent="0.35">
      <c r="A98">
        <v>2021</v>
      </c>
      <c r="B98">
        <v>9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60</v>
      </c>
      <c r="I98" s="2">
        <v>1199.3999999999999</v>
      </c>
      <c r="J98" s="2">
        <v>299.99999999999989</v>
      </c>
    </row>
    <row r="99" spans="1:10" x14ac:dyDescent="0.35">
      <c r="A99">
        <v>2021</v>
      </c>
      <c r="B99">
        <v>9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77</v>
      </c>
      <c r="I99" s="2">
        <v>230.23000000000002</v>
      </c>
      <c r="J99" s="2">
        <v>77.000000000000014</v>
      </c>
    </row>
    <row r="100" spans="1:10" x14ac:dyDescent="0.35">
      <c r="A100">
        <v>2021</v>
      </c>
      <c r="B100">
        <v>9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14</v>
      </c>
      <c r="I100" s="2">
        <v>349.85999999999996</v>
      </c>
      <c r="J100" s="2">
        <v>56</v>
      </c>
    </row>
    <row r="101" spans="1:10" x14ac:dyDescent="0.35">
      <c r="A101">
        <v>2021</v>
      </c>
      <c r="B101">
        <v>9</v>
      </c>
      <c r="C101" t="s">
        <v>55</v>
      </c>
      <c r="D101" t="s">
        <v>48</v>
      </c>
      <c r="E101" t="s">
        <v>0</v>
      </c>
      <c r="F101" t="s">
        <v>45</v>
      </c>
      <c r="G101" t="s">
        <v>12</v>
      </c>
      <c r="H101">
        <v>8</v>
      </c>
      <c r="I101" s="2">
        <v>87.92</v>
      </c>
      <c r="J101" s="2">
        <v>56</v>
      </c>
    </row>
    <row r="102" spans="1:10" x14ac:dyDescent="0.35">
      <c r="A102">
        <v>2021</v>
      </c>
      <c r="B102">
        <v>9</v>
      </c>
      <c r="C102" t="s">
        <v>55</v>
      </c>
      <c r="D102" t="s">
        <v>48</v>
      </c>
      <c r="E102" t="s">
        <v>0</v>
      </c>
      <c r="F102" t="s">
        <v>26</v>
      </c>
      <c r="G102" t="s">
        <v>9</v>
      </c>
      <c r="H102">
        <v>62</v>
      </c>
      <c r="I102" s="2">
        <v>1239.3799999999999</v>
      </c>
      <c r="J102" s="2">
        <v>124</v>
      </c>
    </row>
    <row r="103" spans="1:10" x14ac:dyDescent="0.35">
      <c r="A103">
        <v>2021</v>
      </c>
      <c r="B103">
        <v>9</v>
      </c>
      <c r="C103" t="s">
        <v>55</v>
      </c>
      <c r="D103" t="s">
        <v>48</v>
      </c>
      <c r="E103" t="s">
        <v>0</v>
      </c>
      <c r="F103" t="s">
        <v>6</v>
      </c>
      <c r="G103" t="s">
        <v>7</v>
      </c>
      <c r="H103">
        <v>69</v>
      </c>
      <c r="I103" s="2">
        <v>620.31000000000006</v>
      </c>
      <c r="J103" s="2">
        <v>69</v>
      </c>
    </row>
    <row r="104" spans="1:10" x14ac:dyDescent="0.35">
      <c r="A104">
        <v>2021</v>
      </c>
      <c r="B104">
        <v>9</v>
      </c>
      <c r="C104" t="s">
        <v>55</v>
      </c>
      <c r="D104" t="s">
        <v>48</v>
      </c>
      <c r="E104" t="s">
        <v>0</v>
      </c>
      <c r="F104" t="s">
        <v>16</v>
      </c>
      <c r="G104" t="s">
        <v>14</v>
      </c>
      <c r="H104">
        <v>7</v>
      </c>
      <c r="I104" s="2">
        <v>90.93</v>
      </c>
      <c r="J104" s="2">
        <v>14</v>
      </c>
    </row>
    <row r="105" spans="1:10" x14ac:dyDescent="0.35">
      <c r="A105">
        <v>2021</v>
      </c>
      <c r="B105">
        <v>9</v>
      </c>
      <c r="C105" t="s">
        <v>55</v>
      </c>
      <c r="D105" t="s">
        <v>48</v>
      </c>
      <c r="E105" t="s">
        <v>0</v>
      </c>
      <c r="F105" t="s">
        <v>23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35">
      <c r="A106">
        <v>2021</v>
      </c>
      <c r="B106">
        <v>9</v>
      </c>
      <c r="C106" t="s">
        <v>61</v>
      </c>
      <c r="D106" t="s">
        <v>4</v>
      </c>
      <c r="E106" t="s">
        <v>3</v>
      </c>
      <c r="F106" t="s">
        <v>13</v>
      </c>
      <c r="G106" t="s">
        <v>14</v>
      </c>
      <c r="H106">
        <v>13</v>
      </c>
      <c r="I106" s="2">
        <v>207.87</v>
      </c>
      <c r="J106" s="2">
        <v>78</v>
      </c>
    </row>
    <row r="107" spans="1:10" x14ac:dyDescent="0.35">
      <c r="A107">
        <v>2021</v>
      </c>
      <c r="B107">
        <v>9</v>
      </c>
      <c r="C107" t="s">
        <v>61</v>
      </c>
      <c r="D107" t="s">
        <v>4</v>
      </c>
      <c r="E107" t="s">
        <v>3</v>
      </c>
      <c r="F107" t="s">
        <v>24</v>
      </c>
      <c r="G107" t="s">
        <v>14</v>
      </c>
      <c r="H107">
        <v>12</v>
      </c>
      <c r="I107" s="2">
        <v>155.88</v>
      </c>
      <c r="J107" s="2">
        <v>36</v>
      </c>
    </row>
    <row r="108" spans="1:10" x14ac:dyDescent="0.35">
      <c r="A108">
        <v>2021</v>
      </c>
      <c r="B108">
        <v>9</v>
      </c>
      <c r="C108" t="s">
        <v>61</v>
      </c>
      <c r="D108" t="s">
        <v>4</v>
      </c>
      <c r="E108" t="s">
        <v>3</v>
      </c>
      <c r="F108" t="s">
        <v>34</v>
      </c>
      <c r="G108" t="s">
        <v>12</v>
      </c>
      <c r="H108">
        <v>59</v>
      </c>
      <c r="I108" s="2">
        <v>235.41000000000003</v>
      </c>
      <c r="J108" s="2">
        <v>118</v>
      </c>
    </row>
    <row r="109" spans="1:10" x14ac:dyDescent="0.35">
      <c r="A109">
        <v>2021</v>
      </c>
      <c r="B109">
        <v>9</v>
      </c>
      <c r="C109" t="s">
        <v>61</v>
      </c>
      <c r="D109" t="s">
        <v>4</v>
      </c>
      <c r="E109" t="s">
        <v>3</v>
      </c>
      <c r="F109" t="s">
        <v>20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35">
      <c r="A110">
        <v>2021</v>
      </c>
      <c r="B110">
        <v>9</v>
      </c>
      <c r="C110" t="s">
        <v>61</v>
      </c>
      <c r="D110" t="s">
        <v>4</v>
      </c>
      <c r="E110" t="s">
        <v>3</v>
      </c>
      <c r="F110" t="s">
        <v>25</v>
      </c>
      <c r="G110" t="s">
        <v>7</v>
      </c>
      <c r="H110">
        <v>13</v>
      </c>
      <c r="I110" s="2">
        <v>207.87</v>
      </c>
      <c r="J110" s="2">
        <v>52</v>
      </c>
    </row>
    <row r="111" spans="1:10" x14ac:dyDescent="0.35">
      <c r="A111">
        <v>2021</v>
      </c>
      <c r="B111">
        <v>9</v>
      </c>
      <c r="C111" t="s">
        <v>61</v>
      </c>
      <c r="D111" t="s">
        <v>4</v>
      </c>
      <c r="E111" t="s">
        <v>3</v>
      </c>
      <c r="F111" t="s">
        <v>8</v>
      </c>
      <c r="G111" t="s">
        <v>9</v>
      </c>
      <c r="H111">
        <v>124</v>
      </c>
      <c r="I111" s="2">
        <v>866.76</v>
      </c>
      <c r="J111" s="2">
        <v>372</v>
      </c>
    </row>
    <row r="112" spans="1:10" x14ac:dyDescent="0.35">
      <c r="A112">
        <v>2021</v>
      </c>
      <c r="B112">
        <v>9</v>
      </c>
      <c r="C112" t="s">
        <v>61</v>
      </c>
      <c r="D112" t="s">
        <v>4</v>
      </c>
      <c r="E112" t="s">
        <v>3</v>
      </c>
      <c r="F112" t="s">
        <v>17</v>
      </c>
      <c r="G112" t="s">
        <v>14</v>
      </c>
      <c r="H112">
        <v>85</v>
      </c>
      <c r="I112" s="2">
        <v>934.15</v>
      </c>
      <c r="J112" s="2">
        <v>85</v>
      </c>
    </row>
    <row r="113" spans="1:10" x14ac:dyDescent="0.35">
      <c r="A113">
        <v>2021</v>
      </c>
      <c r="B113">
        <v>9</v>
      </c>
      <c r="C113" t="s">
        <v>61</v>
      </c>
      <c r="D113" t="s">
        <v>4</v>
      </c>
      <c r="E113" t="s">
        <v>3</v>
      </c>
      <c r="F113" t="s">
        <v>28</v>
      </c>
      <c r="G113" t="s">
        <v>14</v>
      </c>
      <c r="H113">
        <v>64</v>
      </c>
      <c r="I113" s="2">
        <v>959.36</v>
      </c>
      <c r="J113" s="2">
        <v>256</v>
      </c>
    </row>
    <row r="114" spans="1:10" x14ac:dyDescent="0.35">
      <c r="A114">
        <v>2021</v>
      </c>
      <c r="B114">
        <v>9</v>
      </c>
      <c r="C114" t="s">
        <v>61</v>
      </c>
      <c r="D114" t="s">
        <v>4</v>
      </c>
      <c r="E114" t="s">
        <v>3</v>
      </c>
      <c r="F114" t="s">
        <v>43</v>
      </c>
      <c r="G114" t="s">
        <v>12</v>
      </c>
      <c r="H114">
        <v>6</v>
      </c>
      <c r="I114" s="2">
        <v>125.94</v>
      </c>
      <c r="J114" s="2">
        <v>59.999999999999986</v>
      </c>
    </row>
    <row r="115" spans="1:10" x14ac:dyDescent="0.35">
      <c r="A115">
        <v>2021</v>
      </c>
      <c r="B115">
        <v>9</v>
      </c>
      <c r="C115" t="s">
        <v>61</v>
      </c>
      <c r="D115" t="s">
        <v>4</v>
      </c>
      <c r="E115" t="s">
        <v>3</v>
      </c>
      <c r="F115" t="s">
        <v>44</v>
      </c>
      <c r="G115" t="s">
        <v>7</v>
      </c>
      <c r="H115">
        <v>81</v>
      </c>
      <c r="I115" s="2">
        <v>971.19</v>
      </c>
      <c r="J115" s="2">
        <v>243</v>
      </c>
    </row>
    <row r="116" spans="1:10" x14ac:dyDescent="0.35">
      <c r="A116">
        <v>2021</v>
      </c>
      <c r="B116">
        <v>9</v>
      </c>
      <c r="C116" t="s">
        <v>61</v>
      </c>
      <c r="D116" t="s">
        <v>4</v>
      </c>
      <c r="E116" t="s">
        <v>3</v>
      </c>
      <c r="F116" t="s">
        <v>40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35">
      <c r="A117">
        <v>2021</v>
      </c>
      <c r="B117">
        <v>9</v>
      </c>
      <c r="C117" t="s">
        <v>61</v>
      </c>
      <c r="D117" t="s">
        <v>4</v>
      </c>
      <c r="E117" t="s">
        <v>3</v>
      </c>
      <c r="F117" t="s">
        <v>32</v>
      </c>
      <c r="G117" t="s">
        <v>9</v>
      </c>
      <c r="H117">
        <v>94</v>
      </c>
      <c r="I117" s="2">
        <v>1033.06</v>
      </c>
      <c r="J117" s="2">
        <v>470</v>
      </c>
    </row>
    <row r="118" spans="1:10" x14ac:dyDescent="0.35">
      <c r="A118">
        <v>2021</v>
      </c>
      <c r="B118">
        <v>9</v>
      </c>
      <c r="C118" t="s">
        <v>61</v>
      </c>
      <c r="D118" t="s">
        <v>4</v>
      </c>
      <c r="E118" t="s">
        <v>3</v>
      </c>
      <c r="F118" t="s">
        <v>35</v>
      </c>
      <c r="G118" t="s">
        <v>14</v>
      </c>
      <c r="H118">
        <v>9</v>
      </c>
      <c r="I118" s="2">
        <v>53.910000000000004</v>
      </c>
      <c r="J118" s="2">
        <v>18</v>
      </c>
    </row>
    <row r="119" spans="1:10" x14ac:dyDescent="0.35">
      <c r="A119">
        <v>2021</v>
      </c>
      <c r="B119">
        <v>9</v>
      </c>
      <c r="C119" t="s">
        <v>61</v>
      </c>
      <c r="D119" t="s">
        <v>4</v>
      </c>
      <c r="E119" t="s">
        <v>3</v>
      </c>
      <c r="F119" t="s">
        <v>31</v>
      </c>
      <c r="G119" t="s">
        <v>12</v>
      </c>
      <c r="H119">
        <v>11</v>
      </c>
      <c r="I119" s="2">
        <v>219.89</v>
      </c>
      <c r="J119" s="2">
        <v>65.999999999999986</v>
      </c>
    </row>
    <row r="120" spans="1:10" x14ac:dyDescent="0.35">
      <c r="A120">
        <v>2021</v>
      </c>
      <c r="B120">
        <v>9</v>
      </c>
      <c r="C120" t="s">
        <v>61</v>
      </c>
      <c r="D120" t="s">
        <v>4</v>
      </c>
      <c r="E120" t="s">
        <v>3</v>
      </c>
      <c r="F120" t="s">
        <v>15</v>
      </c>
      <c r="G120" t="s">
        <v>14</v>
      </c>
      <c r="H120">
        <v>98</v>
      </c>
      <c r="I120" s="2">
        <v>3919.02</v>
      </c>
      <c r="J120" s="2">
        <v>490</v>
      </c>
    </row>
    <row r="121" spans="1:10" x14ac:dyDescent="0.35">
      <c r="A121">
        <v>2021</v>
      </c>
      <c r="B121">
        <v>9</v>
      </c>
      <c r="C121" t="s">
        <v>61</v>
      </c>
      <c r="D121" t="s">
        <v>4</v>
      </c>
      <c r="E121" t="s">
        <v>3</v>
      </c>
      <c r="F121" t="s">
        <v>42</v>
      </c>
      <c r="G121" t="s">
        <v>12</v>
      </c>
      <c r="H121">
        <v>147</v>
      </c>
      <c r="I121" s="2">
        <v>2350.5300000000002</v>
      </c>
      <c r="J121" s="2">
        <v>294</v>
      </c>
    </row>
    <row r="122" spans="1:10" x14ac:dyDescent="0.35">
      <c r="A122">
        <v>2021</v>
      </c>
      <c r="B122">
        <v>9</v>
      </c>
      <c r="C122" t="s">
        <v>61</v>
      </c>
      <c r="D122" t="s">
        <v>4</v>
      </c>
      <c r="E122" t="s">
        <v>3</v>
      </c>
      <c r="F122" t="s">
        <v>22</v>
      </c>
      <c r="G122" t="s">
        <v>7</v>
      </c>
      <c r="H122">
        <v>14</v>
      </c>
      <c r="I122" s="2">
        <v>139.86000000000001</v>
      </c>
      <c r="J122" s="2">
        <v>42</v>
      </c>
    </row>
    <row r="123" spans="1:10" x14ac:dyDescent="0.35">
      <c r="A123">
        <v>2021</v>
      </c>
      <c r="B123">
        <v>9</v>
      </c>
      <c r="C123" t="s">
        <v>61</v>
      </c>
      <c r="D123" t="s">
        <v>4</v>
      </c>
      <c r="E123" t="s">
        <v>3</v>
      </c>
      <c r="F123" t="s">
        <v>10</v>
      </c>
      <c r="G123" t="s">
        <v>7</v>
      </c>
      <c r="H123">
        <v>19</v>
      </c>
      <c r="I123" s="2">
        <v>379.80999999999995</v>
      </c>
      <c r="J123" s="2">
        <v>94.999999999999972</v>
      </c>
    </row>
    <row r="124" spans="1:10" x14ac:dyDescent="0.35">
      <c r="A124">
        <v>2021</v>
      </c>
      <c r="B124">
        <v>9</v>
      </c>
      <c r="C124" t="s">
        <v>61</v>
      </c>
      <c r="D124" t="s">
        <v>4</v>
      </c>
      <c r="E124" t="s">
        <v>3</v>
      </c>
      <c r="F124" t="s">
        <v>27</v>
      </c>
      <c r="G124" t="s">
        <v>12</v>
      </c>
      <c r="H124">
        <v>131</v>
      </c>
      <c r="I124" s="2">
        <v>391.69000000000005</v>
      </c>
      <c r="J124" s="2">
        <v>131.00000000000003</v>
      </c>
    </row>
    <row r="125" spans="1:10" x14ac:dyDescent="0.35">
      <c r="A125">
        <v>2021</v>
      </c>
      <c r="B125">
        <v>9</v>
      </c>
      <c r="C125" t="s">
        <v>61</v>
      </c>
      <c r="D125" t="s">
        <v>4</v>
      </c>
      <c r="E125" t="s">
        <v>3</v>
      </c>
      <c r="F125" t="s">
        <v>37</v>
      </c>
      <c r="G125" t="s">
        <v>12</v>
      </c>
      <c r="H125">
        <v>7</v>
      </c>
      <c r="I125" s="2">
        <v>174.92999999999998</v>
      </c>
      <c r="J125" s="2">
        <v>28</v>
      </c>
    </row>
    <row r="126" spans="1:10" x14ac:dyDescent="0.35">
      <c r="A126">
        <v>2021</v>
      </c>
      <c r="B126">
        <v>9</v>
      </c>
      <c r="C126" t="s">
        <v>61</v>
      </c>
      <c r="D126" t="s">
        <v>4</v>
      </c>
      <c r="E126" t="s">
        <v>3</v>
      </c>
      <c r="F126" t="s">
        <v>11</v>
      </c>
      <c r="G126" t="s">
        <v>12</v>
      </c>
      <c r="H126">
        <v>37</v>
      </c>
      <c r="I126" s="2">
        <v>184.63</v>
      </c>
      <c r="J126" s="2">
        <v>37</v>
      </c>
    </row>
    <row r="127" spans="1:10" x14ac:dyDescent="0.35">
      <c r="A127">
        <v>2021</v>
      </c>
      <c r="B127">
        <v>9</v>
      </c>
      <c r="C127" t="s">
        <v>61</v>
      </c>
      <c r="D127" t="s">
        <v>4</v>
      </c>
      <c r="E127" t="s">
        <v>3</v>
      </c>
      <c r="F127" t="s">
        <v>45</v>
      </c>
      <c r="G127" t="s">
        <v>12</v>
      </c>
      <c r="H127">
        <v>46</v>
      </c>
      <c r="I127" s="2">
        <v>505.54</v>
      </c>
      <c r="J127" s="2">
        <v>322</v>
      </c>
    </row>
    <row r="128" spans="1:10" x14ac:dyDescent="0.35">
      <c r="A128">
        <v>2021</v>
      </c>
      <c r="B128">
        <v>9</v>
      </c>
      <c r="C128" t="s">
        <v>61</v>
      </c>
      <c r="D128" t="s">
        <v>4</v>
      </c>
      <c r="E128" t="s">
        <v>3</v>
      </c>
      <c r="F128" t="s">
        <v>26</v>
      </c>
      <c r="G128" t="s">
        <v>9</v>
      </c>
      <c r="H128">
        <v>47</v>
      </c>
      <c r="I128" s="2">
        <v>939.53</v>
      </c>
      <c r="J128" s="2">
        <v>94</v>
      </c>
    </row>
    <row r="129" spans="1:10" x14ac:dyDescent="0.35">
      <c r="A129">
        <v>2021</v>
      </c>
      <c r="B129">
        <v>9</v>
      </c>
      <c r="C129" t="s">
        <v>61</v>
      </c>
      <c r="D129" t="s">
        <v>4</v>
      </c>
      <c r="E129" t="s">
        <v>3</v>
      </c>
      <c r="F129" t="s">
        <v>6</v>
      </c>
      <c r="G129" t="s">
        <v>7</v>
      </c>
      <c r="H129">
        <v>15</v>
      </c>
      <c r="I129" s="2">
        <v>134.85</v>
      </c>
      <c r="J129" s="2">
        <v>15</v>
      </c>
    </row>
    <row r="130" spans="1:10" x14ac:dyDescent="0.35">
      <c r="A130">
        <v>2021</v>
      </c>
      <c r="B130">
        <v>9</v>
      </c>
      <c r="C130" t="s">
        <v>61</v>
      </c>
      <c r="D130" t="s">
        <v>4</v>
      </c>
      <c r="E130" t="s">
        <v>3</v>
      </c>
      <c r="F130" t="s">
        <v>16</v>
      </c>
      <c r="G130" t="s">
        <v>14</v>
      </c>
      <c r="H130">
        <v>15</v>
      </c>
      <c r="I130" s="2">
        <v>194.85</v>
      </c>
      <c r="J130" s="2">
        <v>30</v>
      </c>
    </row>
    <row r="131" spans="1:10" x14ac:dyDescent="0.35">
      <c r="A131">
        <v>2021</v>
      </c>
      <c r="B131">
        <v>9</v>
      </c>
      <c r="C131" t="s">
        <v>61</v>
      </c>
      <c r="D131" t="s">
        <v>4</v>
      </c>
      <c r="E131" t="s">
        <v>3</v>
      </c>
      <c r="F131" t="s">
        <v>23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35">
      <c r="A132">
        <v>2021</v>
      </c>
      <c r="B132">
        <v>9</v>
      </c>
      <c r="C132" t="s">
        <v>57</v>
      </c>
      <c r="D132" t="s">
        <v>48</v>
      </c>
      <c r="E132" t="s">
        <v>3</v>
      </c>
      <c r="F132" t="s">
        <v>13</v>
      </c>
      <c r="G132" t="s">
        <v>14</v>
      </c>
      <c r="H132">
        <v>24</v>
      </c>
      <c r="I132" s="2">
        <v>383.76</v>
      </c>
      <c r="J132" s="2">
        <v>144</v>
      </c>
    </row>
    <row r="133" spans="1:10" x14ac:dyDescent="0.35">
      <c r="A133">
        <v>2021</v>
      </c>
      <c r="B133">
        <v>9</v>
      </c>
      <c r="C133" t="s">
        <v>57</v>
      </c>
      <c r="D133" t="s">
        <v>48</v>
      </c>
      <c r="E133" t="s">
        <v>3</v>
      </c>
      <c r="F133" t="s">
        <v>24</v>
      </c>
      <c r="G133" t="s">
        <v>14</v>
      </c>
      <c r="H133">
        <v>25</v>
      </c>
      <c r="I133" s="2">
        <v>324.75</v>
      </c>
      <c r="J133" s="2">
        <v>75</v>
      </c>
    </row>
    <row r="134" spans="1:10" x14ac:dyDescent="0.35">
      <c r="A134">
        <v>2021</v>
      </c>
      <c r="B134">
        <v>9</v>
      </c>
      <c r="C134" t="s">
        <v>57</v>
      </c>
      <c r="D134" t="s">
        <v>48</v>
      </c>
      <c r="E134" t="s">
        <v>3</v>
      </c>
      <c r="F134" t="s">
        <v>34</v>
      </c>
      <c r="G134" t="s">
        <v>12</v>
      </c>
      <c r="H134">
        <v>135</v>
      </c>
      <c r="I134" s="2">
        <v>538.65</v>
      </c>
      <c r="J134" s="2">
        <v>270</v>
      </c>
    </row>
    <row r="135" spans="1:10" x14ac:dyDescent="0.35">
      <c r="A135">
        <v>2021</v>
      </c>
      <c r="B135">
        <v>9</v>
      </c>
      <c r="C135" t="s">
        <v>57</v>
      </c>
      <c r="D135" t="s">
        <v>48</v>
      </c>
      <c r="E135" t="s">
        <v>3</v>
      </c>
      <c r="F135" t="s">
        <v>20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35">
      <c r="A136">
        <v>2021</v>
      </c>
      <c r="B136">
        <v>9</v>
      </c>
      <c r="C136" t="s">
        <v>57</v>
      </c>
      <c r="D136" t="s">
        <v>48</v>
      </c>
      <c r="E136" t="s">
        <v>3</v>
      </c>
      <c r="F136" t="s">
        <v>25</v>
      </c>
      <c r="G136" t="s">
        <v>7</v>
      </c>
      <c r="H136">
        <v>51</v>
      </c>
      <c r="I136" s="2">
        <v>815.49</v>
      </c>
      <c r="J136" s="2">
        <v>204</v>
      </c>
    </row>
    <row r="137" spans="1:10" x14ac:dyDescent="0.35">
      <c r="A137">
        <v>2021</v>
      </c>
      <c r="B137">
        <v>9</v>
      </c>
      <c r="C137" t="s">
        <v>57</v>
      </c>
      <c r="D137" t="s">
        <v>48</v>
      </c>
      <c r="E137" t="s">
        <v>3</v>
      </c>
      <c r="F137" t="s">
        <v>8</v>
      </c>
      <c r="G137" t="s">
        <v>9</v>
      </c>
      <c r="H137">
        <v>100</v>
      </c>
      <c r="I137" s="2">
        <v>699</v>
      </c>
      <c r="J137" s="2">
        <v>300</v>
      </c>
    </row>
    <row r="138" spans="1:10" x14ac:dyDescent="0.35">
      <c r="A138">
        <v>2021</v>
      </c>
      <c r="B138">
        <v>9</v>
      </c>
      <c r="C138" t="s">
        <v>57</v>
      </c>
      <c r="D138" t="s">
        <v>48</v>
      </c>
      <c r="E138" t="s">
        <v>3</v>
      </c>
      <c r="F138" t="s">
        <v>17</v>
      </c>
      <c r="G138" t="s">
        <v>14</v>
      </c>
      <c r="H138">
        <v>63</v>
      </c>
      <c r="I138" s="2">
        <v>692.37</v>
      </c>
      <c r="J138" s="2">
        <v>63</v>
      </c>
    </row>
    <row r="139" spans="1:10" x14ac:dyDescent="0.35">
      <c r="A139">
        <v>2021</v>
      </c>
      <c r="B139">
        <v>9</v>
      </c>
      <c r="C139" t="s">
        <v>57</v>
      </c>
      <c r="D139" t="s">
        <v>48</v>
      </c>
      <c r="E139" t="s">
        <v>3</v>
      </c>
      <c r="F139" t="s">
        <v>44</v>
      </c>
      <c r="G139" t="s">
        <v>7</v>
      </c>
      <c r="H139">
        <v>28</v>
      </c>
      <c r="I139" s="2">
        <v>335.72</v>
      </c>
      <c r="J139" s="2">
        <v>84</v>
      </c>
    </row>
    <row r="140" spans="1:10" x14ac:dyDescent="0.35">
      <c r="A140">
        <v>2021</v>
      </c>
      <c r="B140">
        <v>9</v>
      </c>
      <c r="C140" t="s">
        <v>57</v>
      </c>
      <c r="D140" t="s">
        <v>48</v>
      </c>
      <c r="E140" t="s">
        <v>3</v>
      </c>
      <c r="F140" t="s">
        <v>40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35">
      <c r="A141">
        <v>2021</v>
      </c>
      <c r="B141">
        <v>9</v>
      </c>
      <c r="C141" t="s">
        <v>57</v>
      </c>
      <c r="D141" t="s">
        <v>48</v>
      </c>
      <c r="E141" t="s">
        <v>3</v>
      </c>
      <c r="F141" t="s">
        <v>35</v>
      </c>
      <c r="G141" t="s">
        <v>14</v>
      </c>
      <c r="H141">
        <v>18</v>
      </c>
      <c r="I141" s="2">
        <v>107.82000000000001</v>
      </c>
      <c r="J141" s="2">
        <v>36</v>
      </c>
    </row>
    <row r="142" spans="1:10" x14ac:dyDescent="0.35">
      <c r="A142">
        <v>2021</v>
      </c>
      <c r="B142">
        <v>9</v>
      </c>
      <c r="C142" t="s">
        <v>57</v>
      </c>
      <c r="D142" t="s">
        <v>48</v>
      </c>
      <c r="E142" t="s">
        <v>3</v>
      </c>
      <c r="F142" t="s">
        <v>31</v>
      </c>
      <c r="G142" t="s">
        <v>12</v>
      </c>
      <c r="H142">
        <v>23</v>
      </c>
      <c r="I142" s="2">
        <v>459.77</v>
      </c>
      <c r="J142" s="2">
        <v>137.99999999999997</v>
      </c>
    </row>
    <row r="143" spans="1:10" x14ac:dyDescent="0.35">
      <c r="A143">
        <v>2021</v>
      </c>
      <c r="B143">
        <v>9</v>
      </c>
      <c r="C143" t="s">
        <v>57</v>
      </c>
      <c r="D143" t="s">
        <v>48</v>
      </c>
      <c r="E143" t="s">
        <v>3</v>
      </c>
      <c r="F143" t="s">
        <v>15</v>
      </c>
      <c r="G143" t="s">
        <v>14</v>
      </c>
      <c r="H143">
        <v>106</v>
      </c>
      <c r="I143" s="2">
        <v>4238.9400000000005</v>
      </c>
      <c r="J143" s="2">
        <v>530</v>
      </c>
    </row>
    <row r="144" spans="1:10" x14ac:dyDescent="0.35">
      <c r="A144">
        <v>2021</v>
      </c>
      <c r="B144">
        <v>9</v>
      </c>
      <c r="C144" t="s">
        <v>57</v>
      </c>
      <c r="D144" t="s">
        <v>48</v>
      </c>
      <c r="E144" t="s">
        <v>3</v>
      </c>
      <c r="F144" t="s">
        <v>42</v>
      </c>
      <c r="G144" t="s">
        <v>12</v>
      </c>
      <c r="H144">
        <v>81</v>
      </c>
      <c r="I144" s="2">
        <v>1295.19</v>
      </c>
      <c r="J144" s="2">
        <v>162</v>
      </c>
    </row>
    <row r="145" spans="1:10" x14ac:dyDescent="0.35">
      <c r="A145">
        <v>2021</v>
      </c>
      <c r="B145">
        <v>9</v>
      </c>
      <c r="C145" t="s">
        <v>57</v>
      </c>
      <c r="D145" t="s">
        <v>48</v>
      </c>
      <c r="E145" t="s">
        <v>3</v>
      </c>
      <c r="F145" t="s">
        <v>22</v>
      </c>
      <c r="G145" t="s">
        <v>7</v>
      </c>
      <c r="H145">
        <v>53</v>
      </c>
      <c r="I145" s="2">
        <v>529.47</v>
      </c>
      <c r="J145" s="2">
        <v>159</v>
      </c>
    </row>
    <row r="146" spans="1:10" x14ac:dyDescent="0.35">
      <c r="A146">
        <v>2021</v>
      </c>
      <c r="B146">
        <v>9</v>
      </c>
      <c r="C146" t="s">
        <v>57</v>
      </c>
      <c r="D146" t="s">
        <v>48</v>
      </c>
      <c r="E146" t="s">
        <v>3</v>
      </c>
      <c r="F146" t="s">
        <v>41</v>
      </c>
      <c r="G146" t="s">
        <v>14</v>
      </c>
      <c r="H146">
        <v>39</v>
      </c>
      <c r="I146" s="2">
        <v>389.61</v>
      </c>
      <c r="J146" s="2">
        <v>195</v>
      </c>
    </row>
    <row r="147" spans="1:10" x14ac:dyDescent="0.35">
      <c r="A147">
        <v>2021</v>
      </c>
      <c r="B147">
        <v>9</v>
      </c>
      <c r="C147" t="s">
        <v>57</v>
      </c>
      <c r="D147" t="s">
        <v>48</v>
      </c>
      <c r="E147" t="s">
        <v>3</v>
      </c>
      <c r="F147" t="s">
        <v>10</v>
      </c>
      <c r="G147" t="s">
        <v>7</v>
      </c>
      <c r="H147">
        <v>96</v>
      </c>
      <c r="I147" s="2">
        <v>1919.04</v>
      </c>
      <c r="J147" s="2">
        <v>479.99999999999983</v>
      </c>
    </row>
    <row r="148" spans="1:10" x14ac:dyDescent="0.35">
      <c r="A148">
        <v>2021</v>
      </c>
      <c r="B148">
        <v>9</v>
      </c>
      <c r="C148" t="s">
        <v>57</v>
      </c>
      <c r="D148" t="s">
        <v>48</v>
      </c>
      <c r="E148" t="s">
        <v>3</v>
      </c>
      <c r="F148" t="s">
        <v>27</v>
      </c>
      <c r="G148" t="s">
        <v>12</v>
      </c>
      <c r="H148">
        <v>225</v>
      </c>
      <c r="I148" s="2">
        <v>672.75</v>
      </c>
      <c r="J148" s="2">
        <v>225.00000000000006</v>
      </c>
    </row>
    <row r="149" spans="1:10" x14ac:dyDescent="0.35">
      <c r="A149">
        <v>2021</v>
      </c>
      <c r="B149">
        <v>9</v>
      </c>
      <c r="C149" t="s">
        <v>57</v>
      </c>
      <c r="D149" t="s">
        <v>48</v>
      </c>
      <c r="E149" t="s">
        <v>3</v>
      </c>
      <c r="F149" t="s">
        <v>11</v>
      </c>
      <c r="G149" t="s">
        <v>12</v>
      </c>
      <c r="H149">
        <v>13</v>
      </c>
      <c r="I149" s="2">
        <v>64.87</v>
      </c>
      <c r="J149" s="2">
        <v>13</v>
      </c>
    </row>
    <row r="150" spans="1:10" x14ac:dyDescent="0.35">
      <c r="A150">
        <v>2021</v>
      </c>
      <c r="B150">
        <v>9</v>
      </c>
      <c r="C150" t="s">
        <v>57</v>
      </c>
      <c r="D150" t="s">
        <v>48</v>
      </c>
      <c r="E150" t="s">
        <v>3</v>
      </c>
      <c r="F150" t="s">
        <v>45</v>
      </c>
      <c r="G150" t="s">
        <v>12</v>
      </c>
      <c r="H150">
        <v>27</v>
      </c>
      <c r="I150" s="2">
        <v>296.73</v>
      </c>
      <c r="J150" s="2">
        <v>189</v>
      </c>
    </row>
    <row r="151" spans="1:10" x14ac:dyDescent="0.35">
      <c r="A151">
        <v>2021</v>
      </c>
      <c r="B151">
        <v>9</v>
      </c>
      <c r="C151" t="s">
        <v>57</v>
      </c>
      <c r="D151" t="s">
        <v>48</v>
      </c>
      <c r="E151" t="s">
        <v>3</v>
      </c>
      <c r="F151" t="s">
        <v>26</v>
      </c>
      <c r="G151" t="s">
        <v>9</v>
      </c>
      <c r="H151">
        <v>61</v>
      </c>
      <c r="I151" s="2">
        <v>1219.3899999999999</v>
      </c>
      <c r="J151" s="2">
        <v>122</v>
      </c>
    </row>
    <row r="152" spans="1:10" x14ac:dyDescent="0.35">
      <c r="A152">
        <v>2021</v>
      </c>
      <c r="B152">
        <v>9</v>
      </c>
      <c r="C152" t="s">
        <v>57</v>
      </c>
      <c r="D152" t="s">
        <v>48</v>
      </c>
      <c r="E152" t="s">
        <v>3</v>
      </c>
      <c r="F152" t="s">
        <v>6</v>
      </c>
      <c r="G152" t="s">
        <v>7</v>
      </c>
      <c r="H152">
        <v>100</v>
      </c>
      <c r="I152" s="2">
        <v>899</v>
      </c>
      <c r="J152" s="2">
        <v>100</v>
      </c>
    </row>
    <row r="153" spans="1:10" x14ac:dyDescent="0.35">
      <c r="A153">
        <v>2021</v>
      </c>
      <c r="B153">
        <v>9</v>
      </c>
      <c r="C153" t="s">
        <v>57</v>
      </c>
      <c r="D153" t="s">
        <v>48</v>
      </c>
      <c r="E153" t="s">
        <v>3</v>
      </c>
      <c r="F153" t="s">
        <v>36</v>
      </c>
      <c r="G153" t="s">
        <v>7</v>
      </c>
      <c r="H153">
        <v>10</v>
      </c>
      <c r="I153" s="2">
        <v>149.9</v>
      </c>
      <c r="J153" s="2">
        <v>30</v>
      </c>
    </row>
    <row r="154" spans="1:10" x14ac:dyDescent="0.35">
      <c r="A154">
        <v>2021</v>
      </c>
      <c r="B154">
        <v>9</v>
      </c>
      <c r="C154" t="s">
        <v>57</v>
      </c>
      <c r="D154" t="s">
        <v>48</v>
      </c>
      <c r="E154" t="s">
        <v>3</v>
      </c>
      <c r="F154" t="s">
        <v>16</v>
      </c>
      <c r="G154" t="s">
        <v>14</v>
      </c>
      <c r="H154">
        <v>7</v>
      </c>
      <c r="I154" s="2">
        <v>90.93</v>
      </c>
      <c r="J154" s="2">
        <v>14</v>
      </c>
    </row>
    <row r="155" spans="1:10" x14ac:dyDescent="0.35">
      <c r="A155">
        <v>2021</v>
      </c>
      <c r="B155">
        <v>9</v>
      </c>
      <c r="C155" t="s">
        <v>57</v>
      </c>
      <c r="D155" t="s">
        <v>48</v>
      </c>
      <c r="E155" t="s">
        <v>3</v>
      </c>
      <c r="F155" t="s">
        <v>23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35">
      <c r="A156">
        <v>2021</v>
      </c>
      <c r="B156">
        <v>9</v>
      </c>
      <c r="C156" t="s">
        <v>60</v>
      </c>
      <c r="D156" t="s">
        <v>5</v>
      </c>
      <c r="E156" t="s">
        <v>3</v>
      </c>
      <c r="F156" t="s">
        <v>13</v>
      </c>
      <c r="G156" t="s">
        <v>14</v>
      </c>
      <c r="H156">
        <v>5</v>
      </c>
      <c r="I156" s="2">
        <v>79.95</v>
      </c>
      <c r="J156" s="2">
        <v>30</v>
      </c>
    </row>
    <row r="157" spans="1:10" x14ac:dyDescent="0.35">
      <c r="A157">
        <v>2021</v>
      </c>
      <c r="B157">
        <v>9</v>
      </c>
      <c r="C157" t="s">
        <v>60</v>
      </c>
      <c r="D157" t="s">
        <v>5</v>
      </c>
      <c r="E157" t="s">
        <v>3</v>
      </c>
      <c r="F157" t="s">
        <v>34</v>
      </c>
      <c r="G157" t="s">
        <v>12</v>
      </c>
      <c r="H157">
        <v>45</v>
      </c>
      <c r="I157" s="2">
        <v>179.55</v>
      </c>
      <c r="J157" s="2">
        <v>90</v>
      </c>
    </row>
    <row r="158" spans="1:10" x14ac:dyDescent="0.35">
      <c r="A158">
        <v>2021</v>
      </c>
      <c r="B158">
        <v>9</v>
      </c>
      <c r="C158" t="s">
        <v>60</v>
      </c>
      <c r="D158" t="s">
        <v>5</v>
      </c>
      <c r="E158" t="s">
        <v>3</v>
      </c>
      <c r="F158" t="s">
        <v>20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35">
      <c r="A159">
        <v>2021</v>
      </c>
      <c r="B159">
        <v>9</v>
      </c>
      <c r="C159" t="s">
        <v>60</v>
      </c>
      <c r="D159" t="s">
        <v>5</v>
      </c>
      <c r="E159" t="s">
        <v>3</v>
      </c>
      <c r="F159" t="s">
        <v>25</v>
      </c>
      <c r="G159" t="s">
        <v>7</v>
      </c>
      <c r="H159">
        <v>12</v>
      </c>
      <c r="I159" s="2">
        <v>191.88</v>
      </c>
      <c r="J159" s="2">
        <v>48</v>
      </c>
    </row>
    <row r="160" spans="1:10" x14ac:dyDescent="0.35">
      <c r="A160">
        <v>2021</v>
      </c>
      <c r="B160">
        <v>9</v>
      </c>
      <c r="C160" t="s">
        <v>60</v>
      </c>
      <c r="D160" t="s">
        <v>5</v>
      </c>
      <c r="E160" t="s">
        <v>3</v>
      </c>
      <c r="F160" t="s">
        <v>8</v>
      </c>
      <c r="G160" t="s">
        <v>9</v>
      </c>
      <c r="H160">
        <v>117</v>
      </c>
      <c r="I160" s="2">
        <v>817.83</v>
      </c>
      <c r="J160" s="2">
        <v>351</v>
      </c>
    </row>
    <row r="161" spans="1:10" x14ac:dyDescent="0.35">
      <c r="A161">
        <v>2021</v>
      </c>
      <c r="B161">
        <v>9</v>
      </c>
      <c r="C161" t="s">
        <v>60</v>
      </c>
      <c r="D161" t="s">
        <v>5</v>
      </c>
      <c r="E161" t="s">
        <v>3</v>
      </c>
      <c r="F161" t="s">
        <v>17</v>
      </c>
      <c r="G161" t="s">
        <v>14</v>
      </c>
      <c r="H161">
        <v>39</v>
      </c>
      <c r="I161" s="2">
        <v>428.61</v>
      </c>
      <c r="J161" s="2">
        <v>39</v>
      </c>
    </row>
    <row r="162" spans="1:10" x14ac:dyDescent="0.35">
      <c r="A162">
        <v>2021</v>
      </c>
      <c r="B162">
        <v>9</v>
      </c>
      <c r="C162" t="s">
        <v>60</v>
      </c>
      <c r="D162" t="s">
        <v>5</v>
      </c>
      <c r="E162" t="s">
        <v>3</v>
      </c>
      <c r="F162" t="s">
        <v>43</v>
      </c>
      <c r="G162" t="s">
        <v>12</v>
      </c>
      <c r="H162">
        <v>23</v>
      </c>
      <c r="I162" s="2">
        <v>482.77</v>
      </c>
      <c r="J162" s="2">
        <v>229.99999999999997</v>
      </c>
    </row>
    <row r="163" spans="1:10" x14ac:dyDescent="0.35">
      <c r="A163">
        <v>2021</v>
      </c>
      <c r="B163">
        <v>9</v>
      </c>
      <c r="C163" t="s">
        <v>60</v>
      </c>
      <c r="D163" t="s">
        <v>5</v>
      </c>
      <c r="E163" t="s">
        <v>3</v>
      </c>
      <c r="F163" t="s">
        <v>44</v>
      </c>
      <c r="G163" t="s">
        <v>7</v>
      </c>
      <c r="H163">
        <v>5</v>
      </c>
      <c r="I163" s="2">
        <v>59.95</v>
      </c>
      <c r="J163" s="2">
        <v>15</v>
      </c>
    </row>
    <row r="164" spans="1:10" x14ac:dyDescent="0.35">
      <c r="A164">
        <v>2021</v>
      </c>
      <c r="B164">
        <v>9</v>
      </c>
      <c r="C164" t="s">
        <v>60</v>
      </c>
      <c r="D164" t="s">
        <v>5</v>
      </c>
      <c r="E164" t="s">
        <v>3</v>
      </c>
      <c r="F164" t="s">
        <v>40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35">
      <c r="A165">
        <v>2021</v>
      </c>
      <c r="B165">
        <v>9</v>
      </c>
      <c r="C165" t="s">
        <v>60</v>
      </c>
      <c r="D165" t="s">
        <v>5</v>
      </c>
      <c r="E165" t="s">
        <v>3</v>
      </c>
      <c r="F165" t="s">
        <v>32</v>
      </c>
      <c r="G165" t="s">
        <v>9</v>
      </c>
      <c r="H165">
        <v>38</v>
      </c>
      <c r="I165" s="2">
        <v>417.62</v>
      </c>
      <c r="J165" s="2">
        <v>190</v>
      </c>
    </row>
    <row r="166" spans="1:10" x14ac:dyDescent="0.35">
      <c r="A166">
        <v>2021</v>
      </c>
      <c r="B166">
        <v>9</v>
      </c>
      <c r="C166" t="s">
        <v>60</v>
      </c>
      <c r="D166" t="s">
        <v>5</v>
      </c>
      <c r="E166" t="s">
        <v>3</v>
      </c>
      <c r="F166" t="s">
        <v>35</v>
      </c>
      <c r="G166" t="s">
        <v>14</v>
      </c>
      <c r="H166">
        <v>48</v>
      </c>
      <c r="I166" s="2">
        <v>287.52</v>
      </c>
      <c r="J166" s="2">
        <v>96</v>
      </c>
    </row>
    <row r="167" spans="1:10" x14ac:dyDescent="0.35">
      <c r="A167">
        <v>2021</v>
      </c>
      <c r="B167">
        <v>9</v>
      </c>
      <c r="C167" t="s">
        <v>60</v>
      </c>
      <c r="D167" t="s">
        <v>5</v>
      </c>
      <c r="E167" t="s">
        <v>3</v>
      </c>
      <c r="F167" t="s">
        <v>31</v>
      </c>
      <c r="G167" t="s">
        <v>12</v>
      </c>
      <c r="H167">
        <v>22</v>
      </c>
      <c r="I167" s="2">
        <v>439.78</v>
      </c>
      <c r="J167" s="2">
        <v>131.99999999999997</v>
      </c>
    </row>
    <row r="168" spans="1:10" x14ac:dyDescent="0.35">
      <c r="A168">
        <v>2021</v>
      </c>
      <c r="B168">
        <v>9</v>
      </c>
      <c r="C168" t="s">
        <v>60</v>
      </c>
      <c r="D168" t="s">
        <v>5</v>
      </c>
      <c r="E168" t="s">
        <v>3</v>
      </c>
      <c r="F168" t="s">
        <v>15</v>
      </c>
      <c r="G168" t="s">
        <v>14</v>
      </c>
      <c r="H168">
        <v>88</v>
      </c>
      <c r="I168" s="2">
        <v>3519.1200000000003</v>
      </c>
      <c r="J168" s="2">
        <v>440</v>
      </c>
    </row>
    <row r="169" spans="1:10" x14ac:dyDescent="0.35">
      <c r="A169">
        <v>2021</v>
      </c>
      <c r="B169">
        <v>9</v>
      </c>
      <c r="C169" t="s">
        <v>60</v>
      </c>
      <c r="D169" t="s">
        <v>5</v>
      </c>
      <c r="E169" t="s">
        <v>3</v>
      </c>
      <c r="F169" t="s">
        <v>42</v>
      </c>
      <c r="G169" t="s">
        <v>12</v>
      </c>
      <c r="H169">
        <v>42</v>
      </c>
      <c r="I169" s="2">
        <v>671.58</v>
      </c>
      <c r="J169" s="2">
        <v>84</v>
      </c>
    </row>
    <row r="170" spans="1:10" x14ac:dyDescent="0.35">
      <c r="A170">
        <v>2021</v>
      </c>
      <c r="B170">
        <v>9</v>
      </c>
      <c r="C170" t="s">
        <v>60</v>
      </c>
      <c r="D170" t="s">
        <v>5</v>
      </c>
      <c r="E170" t="s">
        <v>3</v>
      </c>
      <c r="F170" t="s">
        <v>22</v>
      </c>
      <c r="G170" t="s">
        <v>7</v>
      </c>
      <c r="H170">
        <v>13</v>
      </c>
      <c r="I170" s="2">
        <v>129.87</v>
      </c>
      <c r="J170" s="2">
        <v>39</v>
      </c>
    </row>
    <row r="171" spans="1:10" x14ac:dyDescent="0.35">
      <c r="A171">
        <v>2021</v>
      </c>
      <c r="B171">
        <v>9</v>
      </c>
      <c r="C171" t="s">
        <v>60</v>
      </c>
      <c r="D171" t="s">
        <v>5</v>
      </c>
      <c r="E171" t="s">
        <v>3</v>
      </c>
      <c r="F171" t="s">
        <v>19</v>
      </c>
      <c r="G171" t="s">
        <v>9</v>
      </c>
      <c r="H171">
        <v>33</v>
      </c>
      <c r="I171" s="2">
        <v>659.67</v>
      </c>
      <c r="J171" s="2">
        <v>197.99999999999994</v>
      </c>
    </row>
    <row r="172" spans="1:10" x14ac:dyDescent="0.35">
      <c r="A172">
        <v>2021</v>
      </c>
      <c r="B172">
        <v>9</v>
      </c>
      <c r="C172" t="s">
        <v>60</v>
      </c>
      <c r="D172" t="s">
        <v>5</v>
      </c>
      <c r="E172" t="s">
        <v>3</v>
      </c>
      <c r="F172" t="s">
        <v>10</v>
      </c>
      <c r="G172" t="s">
        <v>7</v>
      </c>
      <c r="H172">
        <v>68</v>
      </c>
      <c r="I172" s="2">
        <v>1359.32</v>
      </c>
      <c r="J172" s="2">
        <v>339.99999999999989</v>
      </c>
    </row>
    <row r="173" spans="1:10" x14ac:dyDescent="0.35">
      <c r="A173">
        <v>2021</v>
      </c>
      <c r="B173">
        <v>9</v>
      </c>
      <c r="C173" t="s">
        <v>60</v>
      </c>
      <c r="D173" t="s">
        <v>5</v>
      </c>
      <c r="E173" t="s">
        <v>3</v>
      </c>
      <c r="F173" t="s">
        <v>27</v>
      </c>
      <c r="G173" t="s">
        <v>12</v>
      </c>
      <c r="H173">
        <v>67</v>
      </c>
      <c r="I173" s="2">
        <v>200.33</v>
      </c>
      <c r="J173" s="2">
        <v>67.000000000000014</v>
      </c>
    </row>
    <row r="174" spans="1:10" x14ac:dyDescent="0.35">
      <c r="A174">
        <v>2021</v>
      </c>
      <c r="B174">
        <v>9</v>
      </c>
      <c r="C174" t="s">
        <v>60</v>
      </c>
      <c r="D174" t="s">
        <v>5</v>
      </c>
      <c r="E174" t="s">
        <v>3</v>
      </c>
      <c r="F174" t="s">
        <v>37</v>
      </c>
      <c r="G174" t="s">
        <v>12</v>
      </c>
      <c r="H174">
        <v>10</v>
      </c>
      <c r="I174" s="2">
        <v>249.89999999999998</v>
      </c>
      <c r="J174" s="2">
        <v>40</v>
      </c>
    </row>
    <row r="175" spans="1:10" x14ac:dyDescent="0.35">
      <c r="A175">
        <v>2021</v>
      </c>
      <c r="B175">
        <v>9</v>
      </c>
      <c r="C175" t="s">
        <v>60</v>
      </c>
      <c r="D175" t="s">
        <v>5</v>
      </c>
      <c r="E175" t="s">
        <v>3</v>
      </c>
      <c r="F175" t="s">
        <v>11</v>
      </c>
      <c r="G175" t="s">
        <v>12</v>
      </c>
      <c r="H175">
        <v>53</v>
      </c>
      <c r="I175" s="2">
        <v>264.47000000000003</v>
      </c>
      <c r="J175" s="2">
        <v>53</v>
      </c>
    </row>
    <row r="176" spans="1:10" x14ac:dyDescent="0.35">
      <c r="A176">
        <v>2021</v>
      </c>
      <c r="B176">
        <v>9</v>
      </c>
      <c r="C176" t="s">
        <v>60</v>
      </c>
      <c r="D176" t="s">
        <v>5</v>
      </c>
      <c r="E176" t="s">
        <v>3</v>
      </c>
      <c r="F176" t="s">
        <v>45</v>
      </c>
      <c r="G176" t="s">
        <v>12</v>
      </c>
      <c r="H176">
        <v>76</v>
      </c>
      <c r="I176" s="2">
        <v>835.24</v>
      </c>
      <c r="J176" s="2">
        <v>532</v>
      </c>
    </row>
    <row r="177" spans="1:10" x14ac:dyDescent="0.35">
      <c r="A177">
        <v>2021</v>
      </c>
      <c r="B177">
        <v>9</v>
      </c>
      <c r="C177" t="s">
        <v>60</v>
      </c>
      <c r="D177" t="s">
        <v>5</v>
      </c>
      <c r="E177" t="s">
        <v>3</v>
      </c>
      <c r="F177" t="s">
        <v>26</v>
      </c>
      <c r="G177" t="s">
        <v>9</v>
      </c>
      <c r="H177">
        <v>7</v>
      </c>
      <c r="I177" s="2">
        <v>139.92999999999998</v>
      </c>
      <c r="J177" s="2">
        <v>14</v>
      </c>
    </row>
    <row r="178" spans="1:10" x14ac:dyDescent="0.35">
      <c r="A178">
        <v>2021</v>
      </c>
      <c r="B178">
        <v>9</v>
      </c>
      <c r="C178" t="s">
        <v>60</v>
      </c>
      <c r="D178" t="s">
        <v>5</v>
      </c>
      <c r="E178" t="s">
        <v>3</v>
      </c>
      <c r="F178" t="s">
        <v>6</v>
      </c>
      <c r="G178" t="s">
        <v>7</v>
      </c>
      <c r="H178">
        <v>94</v>
      </c>
      <c r="I178" s="2">
        <v>845.06000000000006</v>
      </c>
      <c r="J178" s="2">
        <v>94</v>
      </c>
    </row>
    <row r="179" spans="1:10" x14ac:dyDescent="0.35">
      <c r="A179">
        <v>2021</v>
      </c>
      <c r="B179">
        <v>9</v>
      </c>
      <c r="C179" t="s">
        <v>53</v>
      </c>
      <c r="D179" t="s">
        <v>48</v>
      </c>
      <c r="E179" t="s">
        <v>2</v>
      </c>
      <c r="F179" t="s">
        <v>13</v>
      </c>
      <c r="G179" t="s">
        <v>14</v>
      </c>
      <c r="H179">
        <v>60</v>
      </c>
      <c r="I179" s="2">
        <v>959.4</v>
      </c>
      <c r="J179" s="2">
        <v>360</v>
      </c>
    </row>
    <row r="180" spans="1:10" x14ac:dyDescent="0.35">
      <c r="A180">
        <v>2021</v>
      </c>
      <c r="B180">
        <v>9</v>
      </c>
      <c r="C180" t="s">
        <v>53</v>
      </c>
      <c r="D180" t="s">
        <v>48</v>
      </c>
      <c r="E180" t="s">
        <v>2</v>
      </c>
      <c r="F180" t="s">
        <v>24</v>
      </c>
      <c r="G180" t="s">
        <v>14</v>
      </c>
      <c r="H180">
        <v>65</v>
      </c>
      <c r="I180" s="2">
        <v>844.35</v>
      </c>
      <c r="J180" s="2">
        <v>195</v>
      </c>
    </row>
    <row r="181" spans="1:10" x14ac:dyDescent="0.35">
      <c r="A181">
        <v>2021</v>
      </c>
      <c r="B181">
        <v>9</v>
      </c>
      <c r="C181" t="s">
        <v>53</v>
      </c>
      <c r="D181" t="s">
        <v>48</v>
      </c>
      <c r="E181" t="s">
        <v>2</v>
      </c>
      <c r="F181" t="s">
        <v>34</v>
      </c>
      <c r="G181" t="s">
        <v>12</v>
      </c>
      <c r="H181">
        <v>299</v>
      </c>
      <c r="I181" s="2">
        <v>1193.01</v>
      </c>
      <c r="J181" s="2">
        <v>598</v>
      </c>
    </row>
    <row r="182" spans="1:10" x14ac:dyDescent="0.35">
      <c r="A182">
        <v>2021</v>
      </c>
      <c r="B182">
        <v>9</v>
      </c>
      <c r="C182" t="s">
        <v>53</v>
      </c>
      <c r="D182" t="s">
        <v>48</v>
      </c>
      <c r="E182" t="s">
        <v>2</v>
      </c>
      <c r="F182" t="s">
        <v>18</v>
      </c>
      <c r="G182" t="s">
        <v>9</v>
      </c>
      <c r="H182">
        <v>39</v>
      </c>
      <c r="I182" s="2">
        <v>506.61</v>
      </c>
      <c r="J182" s="2">
        <v>117</v>
      </c>
    </row>
    <row r="183" spans="1:10" x14ac:dyDescent="0.35">
      <c r="A183">
        <v>2021</v>
      </c>
      <c r="B183">
        <v>9</v>
      </c>
      <c r="C183" t="s">
        <v>53</v>
      </c>
      <c r="D183" t="s">
        <v>48</v>
      </c>
      <c r="E183" t="s">
        <v>2</v>
      </c>
      <c r="F183" t="s">
        <v>20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35">
      <c r="A184">
        <v>2021</v>
      </c>
      <c r="B184">
        <v>9</v>
      </c>
      <c r="C184" t="s">
        <v>53</v>
      </c>
      <c r="D184" t="s">
        <v>48</v>
      </c>
      <c r="E184" t="s">
        <v>2</v>
      </c>
      <c r="F184" t="s">
        <v>25</v>
      </c>
      <c r="G184" t="s">
        <v>7</v>
      </c>
      <c r="H184">
        <v>32</v>
      </c>
      <c r="I184" s="2">
        <v>511.68</v>
      </c>
      <c r="J184" s="2">
        <v>128</v>
      </c>
    </row>
    <row r="185" spans="1:10" x14ac:dyDescent="0.35">
      <c r="A185">
        <v>2021</v>
      </c>
      <c r="B185">
        <v>9</v>
      </c>
      <c r="C185" t="s">
        <v>53</v>
      </c>
      <c r="D185" t="s">
        <v>48</v>
      </c>
      <c r="E185" t="s">
        <v>2</v>
      </c>
      <c r="F185" t="s">
        <v>8</v>
      </c>
      <c r="G185" t="s">
        <v>9</v>
      </c>
      <c r="H185">
        <v>16</v>
      </c>
      <c r="I185" s="2">
        <v>111.84</v>
      </c>
      <c r="J185" s="2">
        <v>48</v>
      </c>
    </row>
    <row r="186" spans="1:10" x14ac:dyDescent="0.35">
      <c r="A186">
        <v>2021</v>
      </c>
      <c r="B186">
        <v>9</v>
      </c>
      <c r="C186" t="s">
        <v>53</v>
      </c>
      <c r="D186" t="s">
        <v>48</v>
      </c>
      <c r="E186" t="s">
        <v>2</v>
      </c>
      <c r="F186" t="s">
        <v>17</v>
      </c>
      <c r="G186" t="s">
        <v>14</v>
      </c>
      <c r="H186">
        <v>86</v>
      </c>
      <c r="I186" s="2">
        <v>945.14</v>
      </c>
      <c r="J186" s="2">
        <v>86</v>
      </c>
    </row>
    <row r="187" spans="1:10" x14ac:dyDescent="0.35">
      <c r="A187">
        <v>2021</v>
      </c>
      <c r="B187">
        <v>9</v>
      </c>
      <c r="C187" t="s">
        <v>53</v>
      </c>
      <c r="D187" t="s">
        <v>48</v>
      </c>
      <c r="E187" t="s">
        <v>2</v>
      </c>
      <c r="F187" t="s">
        <v>28</v>
      </c>
      <c r="G187" t="s">
        <v>14</v>
      </c>
      <c r="H187">
        <v>66</v>
      </c>
      <c r="I187" s="2">
        <v>989.34</v>
      </c>
      <c r="J187" s="2">
        <v>264</v>
      </c>
    </row>
    <row r="188" spans="1:10" x14ac:dyDescent="0.35">
      <c r="A188">
        <v>2021</v>
      </c>
      <c r="B188">
        <v>9</v>
      </c>
      <c r="C188" t="s">
        <v>53</v>
      </c>
      <c r="D188" t="s">
        <v>48</v>
      </c>
      <c r="E188" t="s">
        <v>2</v>
      </c>
      <c r="F188" t="s">
        <v>43</v>
      </c>
      <c r="G188" t="s">
        <v>12</v>
      </c>
      <c r="H188">
        <v>4</v>
      </c>
      <c r="I188" s="2">
        <v>83.96</v>
      </c>
      <c r="J188" s="2">
        <v>39.999999999999993</v>
      </c>
    </row>
    <row r="189" spans="1:10" x14ac:dyDescent="0.35">
      <c r="A189">
        <v>2021</v>
      </c>
      <c r="B189">
        <v>9</v>
      </c>
      <c r="C189" t="s">
        <v>53</v>
      </c>
      <c r="D189" t="s">
        <v>48</v>
      </c>
      <c r="E189" t="s">
        <v>2</v>
      </c>
      <c r="F189" t="s">
        <v>44</v>
      </c>
      <c r="G189" t="s">
        <v>7</v>
      </c>
      <c r="H189">
        <v>44</v>
      </c>
      <c r="I189" s="2">
        <v>527.56000000000006</v>
      </c>
      <c r="J189" s="2">
        <v>132</v>
      </c>
    </row>
    <row r="190" spans="1:10" x14ac:dyDescent="0.35">
      <c r="A190">
        <v>2021</v>
      </c>
      <c r="B190">
        <v>9</v>
      </c>
      <c r="C190" t="s">
        <v>53</v>
      </c>
      <c r="D190" t="s">
        <v>48</v>
      </c>
      <c r="E190" t="s">
        <v>2</v>
      </c>
      <c r="F190" t="s">
        <v>40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35">
      <c r="A191">
        <v>2021</v>
      </c>
      <c r="B191">
        <v>9</v>
      </c>
      <c r="C191" t="s">
        <v>53</v>
      </c>
      <c r="D191" t="s">
        <v>48</v>
      </c>
      <c r="E191" t="s">
        <v>2</v>
      </c>
      <c r="F191" t="s">
        <v>32</v>
      </c>
      <c r="G191" t="s">
        <v>9</v>
      </c>
      <c r="H191">
        <v>26</v>
      </c>
      <c r="I191" s="2">
        <v>285.74</v>
      </c>
      <c r="J191" s="2">
        <v>130</v>
      </c>
    </row>
    <row r="192" spans="1:10" x14ac:dyDescent="0.35">
      <c r="A192">
        <v>2021</v>
      </c>
      <c r="B192">
        <v>9</v>
      </c>
      <c r="C192" t="s">
        <v>53</v>
      </c>
      <c r="D192" t="s">
        <v>48</v>
      </c>
      <c r="E192" t="s">
        <v>2</v>
      </c>
      <c r="F192" t="s">
        <v>35</v>
      </c>
      <c r="G192" t="s">
        <v>14</v>
      </c>
      <c r="H192">
        <v>22</v>
      </c>
      <c r="I192" s="2">
        <v>131.78</v>
      </c>
      <c r="J192" s="2">
        <v>44</v>
      </c>
    </row>
    <row r="193" spans="1:10" x14ac:dyDescent="0.35">
      <c r="A193">
        <v>2021</v>
      </c>
      <c r="B193">
        <v>9</v>
      </c>
      <c r="C193" t="s">
        <v>53</v>
      </c>
      <c r="D193" t="s">
        <v>48</v>
      </c>
      <c r="E193" t="s">
        <v>2</v>
      </c>
      <c r="F193" t="s">
        <v>31</v>
      </c>
      <c r="G193" t="s">
        <v>12</v>
      </c>
      <c r="H193">
        <v>69</v>
      </c>
      <c r="I193" s="2">
        <v>1379.31</v>
      </c>
      <c r="J193" s="2">
        <v>413.99999999999989</v>
      </c>
    </row>
    <row r="194" spans="1:10" x14ac:dyDescent="0.35">
      <c r="A194">
        <v>2021</v>
      </c>
      <c r="B194">
        <v>9</v>
      </c>
      <c r="C194" t="s">
        <v>53</v>
      </c>
      <c r="D194" t="s">
        <v>48</v>
      </c>
      <c r="E194" t="s">
        <v>2</v>
      </c>
      <c r="F194" t="s">
        <v>15</v>
      </c>
      <c r="G194" t="s">
        <v>14</v>
      </c>
      <c r="H194">
        <v>25</v>
      </c>
      <c r="I194" s="2">
        <v>999.75</v>
      </c>
      <c r="J194" s="2">
        <v>125</v>
      </c>
    </row>
    <row r="195" spans="1:10" x14ac:dyDescent="0.35">
      <c r="A195">
        <v>2021</v>
      </c>
      <c r="B195">
        <v>9</v>
      </c>
      <c r="C195" t="s">
        <v>53</v>
      </c>
      <c r="D195" t="s">
        <v>48</v>
      </c>
      <c r="E195" t="s">
        <v>2</v>
      </c>
      <c r="F195" t="s">
        <v>42</v>
      </c>
      <c r="G195" t="s">
        <v>12</v>
      </c>
      <c r="H195">
        <v>113</v>
      </c>
      <c r="I195" s="2">
        <v>1806.8700000000001</v>
      </c>
      <c r="J195" s="2">
        <v>226</v>
      </c>
    </row>
    <row r="196" spans="1:10" x14ac:dyDescent="0.35">
      <c r="A196">
        <v>2021</v>
      </c>
      <c r="B196">
        <v>9</v>
      </c>
      <c r="C196" t="s">
        <v>53</v>
      </c>
      <c r="D196" t="s">
        <v>48</v>
      </c>
      <c r="E196" t="s">
        <v>2</v>
      </c>
      <c r="F196" t="s">
        <v>22</v>
      </c>
      <c r="G196" t="s">
        <v>7</v>
      </c>
      <c r="H196">
        <v>196</v>
      </c>
      <c r="I196" s="2">
        <v>1958.04</v>
      </c>
      <c r="J196" s="2">
        <v>588</v>
      </c>
    </row>
    <row r="197" spans="1:10" x14ac:dyDescent="0.35">
      <c r="A197">
        <v>2021</v>
      </c>
      <c r="B197">
        <v>9</v>
      </c>
      <c r="C197" t="s">
        <v>53</v>
      </c>
      <c r="D197" t="s">
        <v>48</v>
      </c>
      <c r="E197" t="s">
        <v>2</v>
      </c>
      <c r="F197" t="s">
        <v>19</v>
      </c>
      <c r="G197" t="s">
        <v>9</v>
      </c>
      <c r="H197">
        <v>7</v>
      </c>
      <c r="I197" s="2">
        <v>139.92999999999998</v>
      </c>
      <c r="J197" s="2">
        <v>41.999999999999986</v>
      </c>
    </row>
    <row r="198" spans="1:10" x14ac:dyDescent="0.35">
      <c r="A198">
        <v>2021</v>
      </c>
      <c r="B198">
        <v>9</v>
      </c>
      <c r="C198" t="s">
        <v>53</v>
      </c>
      <c r="D198" t="s">
        <v>48</v>
      </c>
      <c r="E198" t="s">
        <v>2</v>
      </c>
      <c r="F198" t="s">
        <v>41</v>
      </c>
      <c r="G198" t="s">
        <v>14</v>
      </c>
      <c r="H198">
        <v>16</v>
      </c>
      <c r="I198" s="2">
        <v>159.84</v>
      </c>
      <c r="J198" s="2">
        <v>80</v>
      </c>
    </row>
    <row r="199" spans="1:10" x14ac:dyDescent="0.35">
      <c r="A199">
        <v>2021</v>
      </c>
      <c r="B199">
        <v>9</v>
      </c>
      <c r="C199" t="s">
        <v>53</v>
      </c>
      <c r="D199" t="s">
        <v>48</v>
      </c>
      <c r="E199" t="s">
        <v>2</v>
      </c>
      <c r="F199" t="s">
        <v>10</v>
      </c>
      <c r="G199" t="s">
        <v>7</v>
      </c>
      <c r="H199">
        <v>48</v>
      </c>
      <c r="I199" s="2">
        <v>959.52</v>
      </c>
      <c r="J199" s="2">
        <v>239.99999999999991</v>
      </c>
    </row>
    <row r="200" spans="1:10" x14ac:dyDescent="0.35">
      <c r="A200">
        <v>2021</v>
      </c>
      <c r="B200">
        <v>9</v>
      </c>
      <c r="C200" t="s">
        <v>53</v>
      </c>
      <c r="D200" t="s">
        <v>48</v>
      </c>
      <c r="E200" t="s">
        <v>2</v>
      </c>
      <c r="F200" t="s">
        <v>27</v>
      </c>
      <c r="G200" t="s">
        <v>12</v>
      </c>
      <c r="H200">
        <v>46</v>
      </c>
      <c r="I200" s="2">
        <v>137.54000000000002</v>
      </c>
      <c r="J200" s="2">
        <v>46.000000000000007</v>
      </c>
    </row>
    <row r="201" spans="1:10" x14ac:dyDescent="0.35">
      <c r="A201">
        <v>2021</v>
      </c>
      <c r="B201">
        <v>9</v>
      </c>
      <c r="C201" t="s">
        <v>53</v>
      </c>
      <c r="D201" t="s">
        <v>48</v>
      </c>
      <c r="E201" t="s">
        <v>2</v>
      </c>
      <c r="F201" t="s">
        <v>37</v>
      </c>
      <c r="G201" t="s">
        <v>12</v>
      </c>
      <c r="H201">
        <v>24</v>
      </c>
      <c r="I201" s="2">
        <v>599.76</v>
      </c>
      <c r="J201" s="2">
        <v>96</v>
      </c>
    </row>
    <row r="202" spans="1:10" x14ac:dyDescent="0.35">
      <c r="A202">
        <v>2021</v>
      </c>
      <c r="B202">
        <v>9</v>
      </c>
      <c r="C202" t="s">
        <v>53</v>
      </c>
      <c r="D202" t="s">
        <v>48</v>
      </c>
      <c r="E202" t="s">
        <v>2</v>
      </c>
      <c r="F202" t="s">
        <v>11</v>
      </c>
      <c r="G202" t="s">
        <v>12</v>
      </c>
      <c r="H202">
        <v>5</v>
      </c>
      <c r="I202" s="2">
        <v>24.950000000000003</v>
      </c>
      <c r="J202" s="2">
        <v>5</v>
      </c>
    </row>
    <row r="203" spans="1:10" x14ac:dyDescent="0.35">
      <c r="A203">
        <v>2021</v>
      </c>
      <c r="B203">
        <v>9</v>
      </c>
      <c r="C203" t="s">
        <v>53</v>
      </c>
      <c r="D203" t="s">
        <v>48</v>
      </c>
      <c r="E203" t="s">
        <v>2</v>
      </c>
      <c r="F203" t="s">
        <v>45</v>
      </c>
      <c r="G203" t="s">
        <v>12</v>
      </c>
      <c r="H203">
        <v>49</v>
      </c>
      <c r="I203" s="2">
        <v>538.51</v>
      </c>
      <c r="J203" s="2">
        <v>343</v>
      </c>
    </row>
    <row r="204" spans="1:10" x14ac:dyDescent="0.35">
      <c r="A204">
        <v>2021</v>
      </c>
      <c r="B204">
        <v>9</v>
      </c>
      <c r="C204" t="s">
        <v>53</v>
      </c>
      <c r="D204" t="s">
        <v>48</v>
      </c>
      <c r="E204" t="s">
        <v>2</v>
      </c>
      <c r="F204" t="s">
        <v>26</v>
      </c>
      <c r="G204" t="s">
        <v>9</v>
      </c>
      <c r="H204">
        <v>36</v>
      </c>
      <c r="I204" s="2">
        <v>719.64</v>
      </c>
      <c r="J204" s="2">
        <v>72</v>
      </c>
    </row>
    <row r="205" spans="1:10" x14ac:dyDescent="0.35">
      <c r="A205">
        <v>2021</v>
      </c>
      <c r="B205">
        <v>9</v>
      </c>
      <c r="C205" t="s">
        <v>53</v>
      </c>
      <c r="D205" t="s">
        <v>48</v>
      </c>
      <c r="E205" t="s">
        <v>2</v>
      </c>
      <c r="F205" t="s">
        <v>6</v>
      </c>
      <c r="G205" t="s">
        <v>7</v>
      </c>
      <c r="H205">
        <v>20</v>
      </c>
      <c r="I205" s="2">
        <v>179.8</v>
      </c>
      <c r="J205" s="2">
        <v>20</v>
      </c>
    </row>
    <row r="206" spans="1:10" x14ac:dyDescent="0.35">
      <c r="A206">
        <v>2021</v>
      </c>
      <c r="B206">
        <v>9</v>
      </c>
      <c r="C206" t="s">
        <v>53</v>
      </c>
      <c r="D206" t="s">
        <v>48</v>
      </c>
      <c r="E206" t="s">
        <v>2</v>
      </c>
      <c r="F206" t="s">
        <v>36</v>
      </c>
      <c r="G206" t="s">
        <v>7</v>
      </c>
      <c r="H206">
        <v>25</v>
      </c>
      <c r="I206" s="2">
        <v>374.75</v>
      </c>
      <c r="J206" s="2">
        <v>75</v>
      </c>
    </row>
    <row r="207" spans="1:10" x14ac:dyDescent="0.35">
      <c r="A207">
        <v>2021</v>
      </c>
      <c r="B207">
        <v>9</v>
      </c>
      <c r="C207" t="s">
        <v>53</v>
      </c>
      <c r="D207" t="s">
        <v>48</v>
      </c>
      <c r="E207" t="s">
        <v>2</v>
      </c>
      <c r="F207" t="s">
        <v>16</v>
      </c>
      <c r="G207" t="s">
        <v>14</v>
      </c>
      <c r="H207">
        <v>2</v>
      </c>
      <c r="I207" s="2">
        <v>25.98</v>
      </c>
      <c r="J207" s="2">
        <v>4</v>
      </c>
    </row>
    <row r="208" spans="1:10" x14ac:dyDescent="0.35">
      <c r="A208">
        <v>2021</v>
      </c>
      <c r="B208">
        <v>9</v>
      </c>
      <c r="C208" t="s">
        <v>54</v>
      </c>
      <c r="D208" t="s">
        <v>48</v>
      </c>
      <c r="E208" t="s">
        <v>1</v>
      </c>
      <c r="F208" t="s">
        <v>13</v>
      </c>
      <c r="G208" t="s">
        <v>14</v>
      </c>
      <c r="H208">
        <v>12</v>
      </c>
      <c r="I208" s="2">
        <v>191.88</v>
      </c>
      <c r="J208" s="2">
        <v>72</v>
      </c>
    </row>
    <row r="209" spans="1:10" x14ac:dyDescent="0.35">
      <c r="A209">
        <v>2021</v>
      </c>
      <c r="B209">
        <v>9</v>
      </c>
      <c r="C209" t="s">
        <v>54</v>
      </c>
      <c r="D209" t="s">
        <v>48</v>
      </c>
      <c r="E209" t="s">
        <v>1</v>
      </c>
      <c r="F209" t="s">
        <v>24</v>
      </c>
      <c r="G209" t="s">
        <v>14</v>
      </c>
      <c r="H209">
        <v>53</v>
      </c>
      <c r="I209" s="2">
        <v>688.47</v>
      </c>
      <c r="J209" s="2">
        <v>159</v>
      </c>
    </row>
    <row r="210" spans="1:10" x14ac:dyDescent="0.35">
      <c r="A210">
        <v>2021</v>
      </c>
      <c r="B210">
        <v>9</v>
      </c>
      <c r="C210" t="s">
        <v>54</v>
      </c>
      <c r="D210" t="s">
        <v>48</v>
      </c>
      <c r="E210" t="s">
        <v>1</v>
      </c>
      <c r="F210" t="s">
        <v>34</v>
      </c>
      <c r="G210" t="s">
        <v>12</v>
      </c>
      <c r="H210">
        <v>44</v>
      </c>
      <c r="I210" s="2">
        <v>175.56</v>
      </c>
      <c r="J210" s="2">
        <v>88</v>
      </c>
    </row>
    <row r="211" spans="1:10" x14ac:dyDescent="0.35">
      <c r="A211">
        <v>2021</v>
      </c>
      <c r="B211">
        <v>9</v>
      </c>
      <c r="C211" t="s">
        <v>54</v>
      </c>
      <c r="D211" t="s">
        <v>48</v>
      </c>
      <c r="E211" t="s">
        <v>1</v>
      </c>
      <c r="F211" t="s">
        <v>20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35">
      <c r="A212">
        <v>2021</v>
      </c>
      <c r="B212">
        <v>9</v>
      </c>
      <c r="C212" t="s">
        <v>54</v>
      </c>
      <c r="D212" t="s">
        <v>48</v>
      </c>
      <c r="E212" t="s">
        <v>1</v>
      </c>
      <c r="F212" t="s">
        <v>25</v>
      </c>
      <c r="G212" t="s">
        <v>7</v>
      </c>
      <c r="H212">
        <v>26</v>
      </c>
      <c r="I212" s="2">
        <v>415.74</v>
      </c>
      <c r="J212" s="2">
        <v>104</v>
      </c>
    </row>
    <row r="213" spans="1:10" x14ac:dyDescent="0.35">
      <c r="A213">
        <v>2021</v>
      </c>
      <c r="B213">
        <v>9</v>
      </c>
      <c r="C213" t="s">
        <v>54</v>
      </c>
      <c r="D213" t="s">
        <v>48</v>
      </c>
      <c r="E213" t="s">
        <v>1</v>
      </c>
      <c r="F213" t="s">
        <v>8</v>
      </c>
      <c r="G213" t="s">
        <v>9</v>
      </c>
      <c r="H213">
        <v>39</v>
      </c>
      <c r="I213" s="2">
        <v>272.61</v>
      </c>
      <c r="J213" s="2">
        <v>117</v>
      </c>
    </row>
    <row r="214" spans="1:10" x14ac:dyDescent="0.35">
      <c r="A214">
        <v>2021</v>
      </c>
      <c r="B214">
        <v>9</v>
      </c>
      <c r="C214" t="s">
        <v>54</v>
      </c>
      <c r="D214" t="s">
        <v>48</v>
      </c>
      <c r="E214" t="s">
        <v>1</v>
      </c>
      <c r="F214" t="s">
        <v>17</v>
      </c>
      <c r="G214" t="s">
        <v>14</v>
      </c>
      <c r="H214">
        <v>106</v>
      </c>
      <c r="I214" s="2">
        <v>1164.94</v>
      </c>
      <c r="J214" s="2">
        <v>106</v>
      </c>
    </row>
    <row r="215" spans="1:10" x14ac:dyDescent="0.35">
      <c r="A215">
        <v>2021</v>
      </c>
      <c r="B215">
        <v>9</v>
      </c>
      <c r="C215" t="s">
        <v>54</v>
      </c>
      <c r="D215" t="s">
        <v>48</v>
      </c>
      <c r="E215" t="s">
        <v>1</v>
      </c>
      <c r="F215" t="s">
        <v>28</v>
      </c>
      <c r="G215" t="s">
        <v>14</v>
      </c>
      <c r="H215">
        <v>2</v>
      </c>
      <c r="I215" s="2">
        <v>29.98</v>
      </c>
      <c r="J215" s="2">
        <v>8</v>
      </c>
    </row>
    <row r="216" spans="1:10" x14ac:dyDescent="0.35">
      <c r="A216">
        <v>2021</v>
      </c>
      <c r="B216">
        <v>9</v>
      </c>
      <c r="C216" t="s">
        <v>54</v>
      </c>
      <c r="D216" t="s">
        <v>48</v>
      </c>
      <c r="E216" t="s">
        <v>1</v>
      </c>
      <c r="F216" t="s">
        <v>43</v>
      </c>
      <c r="G216" t="s">
        <v>12</v>
      </c>
      <c r="H216">
        <v>16</v>
      </c>
      <c r="I216" s="2">
        <v>335.84</v>
      </c>
      <c r="J216" s="2">
        <v>159.99999999999997</v>
      </c>
    </row>
    <row r="217" spans="1:10" x14ac:dyDescent="0.35">
      <c r="A217">
        <v>2021</v>
      </c>
      <c r="B217">
        <v>9</v>
      </c>
      <c r="C217" t="s">
        <v>54</v>
      </c>
      <c r="D217" t="s">
        <v>48</v>
      </c>
      <c r="E217" t="s">
        <v>1</v>
      </c>
      <c r="F217" t="s">
        <v>40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35">
      <c r="A218">
        <v>2021</v>
      </c>
      <c r="B218">
        <v>9</v>
      </c>
      <c r="C218" t="s">
        <v>54</v>
      </c>
      <c r="D218" t="s">
        <v>48</v>
      </c>
      <c r="E218" t="s">
        <v>1</v>
      </c>
      <c r="F218" t="s">
        <v>32</v>
      </c>
      <c r="G218" t="s">
        <v>9</v>
      </c>
      <c r="H218">
        <v>18</v>
      </c>
      <c r="I218" s="2">
        <v>197.82</v>
      </c>
      <c r="J218" s="2">
        <v>90</v>
      </c>
    </row>
    <row r="219" spans="1:10" x14ac:dyDescent="0.35">
      <c r="A219">
        <v>2021</v>
      </c>
      <c r="B219">
        <v>9</v>
      </c>
      <c r="C219" t="s">
        <v>54</v>
      </c>
      <c r="D219" t="s">
        <v>48</v>
      </c>
      <c r="E219" t="s">
        <v>1</v>
      </c>
      <c r="F219" t="s">
        <v>35</v>
      </c>
      <c r="G219" t="s">
        <v>14</v>
      </c>
      <c r="H219">
        <v>4</v>
      </c>
      <c r="I219" s="2">
        <v>23.96</v>
      </c>
      <c r="J219" s="2">
        <v>8</v>
      </c>
    </row>
    <row r="220" spans="1:10" x14ac:dyDescent="0.35">
      <c r="A220">
        <v>2021</v>
      </c>
      <c r="B220">
        <v>9</v>
      </c>
      <c r="C220" t="s">
        <v>54</v>
      </c>
      <c r="D220" t="s">
        <v>48</v>
      </c>
      <c r="E220" t="s">
        <v>1</v>
      </c>
      <c r="F220" t="s">
        <v>31</v>
      </c>
      <c r="G220" t="s">
        <v>12</v>
      </c>
      <c r="H220">
        <v>12</v>
      </c>
      <c r="I220" s="2">
        <v>239.88</v>
      </c>
      <c r="J220" s="2">
        <v>71.999999999999972</v>
      </c>
    </row>
    <row r="221" spans="1:10" x14ac:dyDescent="0.35">
      <c r="A221">
        <v>2021</v>
      </c>
      <c r="B221">
        <v>9</v>
      </c>
      <c r="C221" t="s">
        <v>54</v>
      </c>
      <c r="D221" t="s">
        <v>48</v>
      </c>
      <c r="E221" t="s">
        <v>1</v>
      </c>
      <c r="F221" t="s">
        <v>15</v>
      </c>
      <c r="G221" t="s">
        <v>14</v>
      </c>
      <c r="H221">
        <v>9</v>
      </c>
      <c r="I221" s="2">
        <v>359.91</v>
      </c>
      <c r="J221" s="2">
        <v>45</v>
      </c>
    </row>
    <row r="222" spans="1:10" x14ac:dyDescent="0.35">
      <c r="A222">
        <v>2021</v>
      </c>
      <c r="B222">
        <v>9</v>
      </c>
      <c r="C222" t="s">
        <v>54</v>
      </c>
      <c r="D222" t="s">
        <v>48</v>
      </c>
      <c r="E222" t="s">
        <v>1</v>
      </c>
      <c r="F222" t="s">
        <v>42</v>
      </c>
      <c r="G222" t="s">
        <v>12</v>
      </c>
      <c r="H222">
        <v>28</v>
      </c>
      <c r="I222" s="2">
        <v>447.72</v>
      </c>
      <c r="J222" s="2">
        <v>56</v>
      </c>
    </row>
    <row r="223" spans="1:10" x14ac:dyDescent="0.35">
      <c r="A223">
        <v>2021</v>
      </c>
      <c r="B223">
        <v>9</v>
      </c>
      <c r="C223" t="s">
        <v>54</v>
      </c>
      <c r="D223" t="s">
        <v>48</v>
      </c>
      <c r="E223" t="s">
        <v>1</v>
      </c>
      <c r="F223" t="s">
        <v>22</v>
      </c>
      <c r="G223" t="s">
        <v>7</v>
      </c>
      <c r="H223">
        <v>15</v>
      </c>
      <c r="I223" s="2">
        <v>149.85</v>
      </c>
      <c r="J223" s="2">
        <v>45</v>
      </c>
    </row>
    <row r="224" spans="1:10" x14ac:dyDescent="0.35">
      <c r="A224">
        <v>2021</v>
      </c>
      <c r="B224">
        <v>9</v>
      </c>
      <c r="C224" t="s">
        <v>54</v>
      </c>
      <c r="D224" t="s">
        <v>48</v>
      </c>
      <c r="E224" t="s">
        <v>1</v>
      </c>
      <c r="F224" t="s">
        <v>41</v>
      </c>
      <c r="G224" t="s">
        <v>14</v>
      </c>
      <c r="H224">
        <v>15</v>
      </c>
      <c r="I224" s="2">
        <v>149.85</v>
      </c>
      <c r="J224" s="2">
        <v>75</v>
      </c>
    </row>
    <row r="225" spans="1:10" x14ac:dyDescent="0.35">
      <c r="A225">
        <v>2021</v>
      </c>
      <c r="B225">
        <v>9</v>
      </c>
      <c r="C225" t="s">
        <v>54</v>
      </c>
      <c r="D225" t="s">
        <v>48</v>
      </c>
      <c r="E225" t="s">
        <v>1</v>
      </c>
      <c r="F225" t="s">
        <v>10</v>
      </c>
      <c r="G225" t="s">
        <v>7</v>
      </c>
      <c r="H225">
        <v>38</v>
      </c>
      <c r="I225" s="2">
        <v>759.61999999999989</v>
      </c>
      <c r="J225" s="2">
        <v>189.99999999999994</v>
      </c>
    </row>
    <row r="226" spans="1:10" x14ac:dyDescent="0.35">
      <c r="A226">
        <v>2021</v>
      </c>
      <c r="B226">
        <v>9</v>
      </c>
      <c r="C226" t="s">
        <v>54</v>
      </c>
      <c r="D226" t="s">
        <v>48</v>
      </c>
      <c r="E226" t="s">
        <v>1</v>
      </c>
      <c r="F226" t="s">
        <v>27</v>
      </c>
      <c r="G226" t="s">
        <v>12</v>
      </c>
      <c r="H226">
        <v>62</v>
      </c>
      <c r="I226" s="2">
        <v>185.38000000000002</v>
      </c>
      <c r="J226" s="2">
        <v>62.000000000000014</v>
      </c>
    </row>
    <row r="227" spans="1:10" x14ac:dyDescent="0.35">
      <c r="A227">
        <v>2021</v>
      </c>
      <c r="B227">
        <v>9</v>
      </c>
      <c r="C227" t="s">
        <v>54</v>
      </c>
      <c r="D227" t="s">
        <v>48</v>
      </c>
      <c r="E227" t="s">
        <v>1</v>
      </c>
      <c r="F227" t="s">
        <v>11</v>
      </c>
      <c r="G227" t="s">
        <v>12</v>
      </c>
      <c r="H227">
        <v>11</v>
      </c>
      <c r="I227" s="2">
        <v>54.89</v>
      </c>
      <c r="J227" s="2">
        <v>11</v>
      </c>
    </row>
    <row r="228" spans="1:10" x14ac:dyDescent="0.35">
      <c r="A228">
        <v>2021</v>
      </c>
      <c r="B228">
        <v>9</v>
      </c>
      <c r="C228" t="s">
        <v>54</v>
      </c>
      <c r="D228" t="s">
        <v>48</v>
      </c>
      <c r="E228" t="s">
        <v>1</v>
      </c>
      <c r="F228" t="s">
        <v>45</v>
      </c>
      <c r="G228" t="s">
        <v>12</v>
      </c>
      <c r="H228">
        <v>8</v>
      </c>
      <c r="I228" s="2">
        <v>87.92</v>
      </c>
      <c r="J228" s="2">
        <v>56</v>
      </c>
    </row>
    <row r="229" spans="1:10" x14ac:dyDescent="0.35">
      <c r="A229">
        <v>2021</v>
      </c>
      <c r="B229">
        <v>9</v>
      </c>
      <c r="C229" t="s">
        <v>54</v>
      </c>
      <c r="D229" t="s">
        <v>48</v>
      </c>
      <c r="E229" t="s">
        <v>1</v>
      </c>
      <c r="F229" t="s">
        <v>39</v>
      </c>
      <c r="G229" t="s">
        <v>14</v>
      </c>
      <c r="H229">
        <v>3</v>
      </c>
      <c r="I229" s="2">
        <v>59.97</v>
      </c>
      <c r="J229" s="2">
        <v>32.999999999999993</v>
      </c>
    </row>
    <row r="230" spans="1:10" x14ac:dyDescent="0.35">
      <c r="A230">
        <v>2021</v>
      </c>
      <c r="B230">
        <v>9</v>
      </c>
      <c r="C230" t="s">
        <v>54</v>
      </c>
      <c r="D230" t="s">
        <v>48</v>
      </c>
      <c r="E230" t="s">
        <v>1</v>
      </c>
      <c r="F230" t="s">
        <v>26</v>
      </c>
      <c r="G230" t="s">
        <v>9</v>
      </c>
      <c r="H230">
        <v>10</v>
      </c>
      <c r="I230" s="2">
        <v>199.89999999999998</v>
      </c>
      <c r="J230" s="2">
        <v>20</v>
      </c>
    </row>
    <row r="231" spans="1:10" x14ac:dyDescent="0.35">
      <c r="A231">
        <v>2021</v>
      </c>
      <c r="B231">
        <v>9</v>
      </c>
      <c r="C231" t="s">
        <v>54</v>
      </c>
      <c r="D231" t="s">
        <v>48</v>
      </c>
      <c r="E231" t="s">
        <v>1</v>
      </c>
      <c r="F231" t="s">
        <v>6</v>
      </c>
      <c r="G231" t="s">
        <v>7</v>
      </c>
      <c r="H231">
        <v>7</v>
      </c>
      <c r="I231" s="2">
        <v>62.93</v>
      </c>
      <c r="J231" s="2">
        <v>7</v>
      </c>
    </row>
    <row r="232" spans="1:10" x14ac:dyDescent="0.35">
      <c r="A232">
        <v>2021</v>
      </c>
      <c r="B232">
        <v>9</v>
      </c>
      <c r="C232" t="s">
        <v>54</v>
      </c>
      <c r="D232" t="s">
        <v>48</v>
      </c>
      <c r="E232" t="s">
        <v>1</v>
      </c>
      <c r="F232" t="s">
        <v>36</v>
      </c>
      <c r="G232" t="s">
        <v>7</v>
      </c>
      <c r="H232">
        <v>20</v>
      </c>
      <c r="I232" s="2">
        <v>299.8</v>
      </c>
      <c r="J232" s="2">
        <v>60</v>
      </c>
    </row>
    <row r="233" spans="1:10" x14ac:dyDescent="0.35">
      <c r="A233">
        <v>2021</v>
      </c>
      <c r="B233">
        <v>9</v>
      </c>
      <c r="C233" t="s">
        <v>54</v>
      </c>
      <c r="D233" t="s">
        <v>48</v>
      </c>
      <c r="E233" t="s">
        <v>1</v>
      </c>
      <c r="F233" t="s">
        <v>23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35">
      <c r="A234">
        <v>2021</v>
      </c>
      <c r="B234">
        <v>9</v>
      </c>
      <c r="C234" t="s">
        <v>58</v>
      </c>
      <c r="D234" t="s">
        <v>5</v>
      </c>
      <c r="E234" t="s">
        <v>1</v>
      </c>
      <c r="F234" t="s">
        <v>13</v>
      </c>
      <c r="G234" t="s">
        <v>14</v>
      </c>
      <c r="H234">
        <v>13</v>
      </c>
      <c r="I234" s="2">
        <v>207.87</v>
      </c>
      <c r="J234" s="2">
        <v>78</v>
      </c>
    </row>
    <row r="235" spans="1:10" x14ac:dyDescent="0.35">
      <c r="A235">
        <v>2021</v>
      </c>
      <c r="B235">
        <v>9</v>
      </c>
      <c r="C235" t="s">
        <v>58</v>
      </c>
      <c r="D235" t="s">
        <v>5</v>
      </c>
      <c r="E235" t="s">
        <v>1</v>
      </c>
      <c r="F235" t="s">
        <v>24</v>
      </c>
      <c r="G235" t="s">
        <v>14</v>
      </c>
      <c r="H235">
        <v>138</v>
      </c>
      <c r="I235" s="2">
        <v>1792.6200000000001</v>
      </c>
      <c r="J235" s="2">
        <v>414</v>
      </c>
    </row>
    <row r="236" spans="1:10" x14ac:dyDescent="0.35">
      <c r="A236">
        <v>2021</v>
      </c>
      <c r="B236">
        <v>9</v>
      </c>
      <c r="C236" t="s">
        <v>58</v>
      </c>
      <c r="D236" t="s">
        <v>5</v>
      </c>
      <c r="E236" t="s">
        <v>1</v>
      </c>
      <c r="F236" t="s">
        <v>34</v>
      </c>
      <c r="G236" t="s">
        <v>12</v>
      </c>
      <c r="H236">
        <v>118</v>
      </c>
      <c r="I236" s="2">
        <v>470.82000000000005</v>
      </c>
      <c r="J236" s="2">
        <v>236</v>
      </c>
    </row>
    <row r="237" spans="1:10" x14ac:dyDescent="0.35">
      <c r="A237">
        <v>2021</v>
      </c>
      <c r="B237">
        <v>9</v>
      </c>
      <c r="C237" t="s">
        <v>58</v>
      </c>
      <c r="D237" t="s">
        <v>5</v>
      </c>
      <c r="E237" t="s">
        <v>1</v>
      </c>
      <c r="F237" t="s">
        <v>20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35">
      <c r="A238">
        <v>2021</v>
      </c>
      <c r="B238">
        <v>9</v>
      </c>
      <c r="C238" t="s">
        <v>58</v>
      </c>
      <c r="D238" t="s">
        <v>5</v>
      </c>
      <c r="E238" t="s">
        <v>1</v>
      </c>
      <c r="F238" t="s">
        <v>25</v>
      </c>
      <c r="G238" t="s">
        <v>7</v>
      </c>
      <c r="H238">
        <v>10</v>
      </c>
      <c r="I238" s="2">
        <v>159.9</v>
      </c>
      <c r="J238" s="2">
        <v>40</v>
      </c>
    </row>
    <row r="239" spans="1:10" x14ac:dyDescent="0.35">
      <c r="A239">
        <v>2021</v>
      </c>
      <c r="B239">
        <v>9</v>
      </c>
      <c r="C239" t="s">
        <v>58</v>
      </c>
      <c r="D239" t="s">
        <v>5</v>
      </c>
      <c r="E239" t="s">
        <v>1</v>
      </c>
      <c r="F239" t="s">
        <v>8</v>
      </c>
      <c r="G239" t="s">
        <v>9</v>
      </c>
      <c r="H239">
        <v>5</v>
      </c>
      <c r="I239" s="2">
        <v>34.950000000000003</v>
      </c>
      <c r="J239" s="2">
        <v>15</v>
      </c>
    </row>
    <row r="240" spans="1:10" x14ac:dyDescent="0.35">
      <c r="A240">
        <v>2021</v>
      </c>
      <c r="B240">
        <v>9</v>
      </c>
      <c r="C240" t="s">
        <v>58</v>
      </c>
      <c r="D240" t="s">
        <v>5</v>
      </c>
      <c r="E240" t="s">
        <v>1</v>
      </c>
      <c r="F240" t="s">
        <v>17</v>
      </c>
      <c r="G240" t="s">
        <v>14</v>
      </c>
      <c r="H240">
        <v>57</v>
      </c>
      <c r="I240" s="2">
        <v>626.43000000000006</v>
      </c>
      <c r="J240" s="2">
        <v>57</v>
      </c>
    </row>
    <row r="241" spans="1:10" x14ac:dyDescent="0.35">
      <c r="A241">
        <v>2021</v>
      </c>
      <c r="B241">
        <v>9</v>
      </c>
      <c r="C241" t="s">
        <v>58</v>
      </c>
      <c r="D241" t="s">
        <v>5</v>
      </c>
      <c r="E241" t="s">
        <v>1</v>
      </c>
      <c r="F241" t="s">
        <v>28</v>
      </c>
      <c r="G241" t="s">
        <v>14</v>
      </c>
      <c r="H241">
        <v>137</v>
      </c>
      <c r="I241" s="2">
        <v>2053.63</v>
      </c>
      <c r="J241" s="2">
        <v>548</v>
      </c>
    </row>
    <row r="242" spans="1:10" x14ac:dyDescent="0.35">
      <c r="A242">
        <v>2021</v>
      </c>
      <c r="B242">
        <v>9</v>
      </c>
      <c r="C242" t="s">
        <v>58</v>
      </c>
      <c r="D242" t="s">
        <v>5</v>
      </c>
      <c r="E242" t="s">
        <v>1</v>
      </c>
      <c r="F242" t="s">
        <v>43</v>
      </c>
      <c r="G242" t="s">
        <v>12</v>
      </c>
      <c r="H242">
        <v>10</v>
      </c>
      <c r="I242" s="2">
        <v>209.89999999999998</v>
      </c>
      <c r="J242" s="2">
        <v>99.999999999999986</v>
      </c>
    </row>
    <row r="243" spans="1:10" x14ac:dyDescent="0.35">
      <c r="A243">
        <v>2021</v>
      </c>
      <c r="B243">
        <v>9</v>
      </c>
      <c r="C243" t="s">
        <v>58</v>
      </c>
      <c r="D243" t="s">
        <v>5</v>
      </c>
      <c r="E243" t="s">
        <v>1</v>
      </c>
      <c r="F243" t="s">
        <v>44</v>
      </c>
      <c r="G243" t="s">
        <v>7</v>
      </c>
      <c r="H243">
        <v>44</v>
      </c>
      <c r="I243" s="2">
        <v>527.56000000000006</v>
      </c>
      <c r="J243" s="2">
        <v>132</v>
      </c>
    </row>
    <row r="244" spans="1:10" x14ac:dyDescent="0.35">
      <c r="A244">
        <v>2021</v>
      </c>
      <c r="B244">
        <v>9</v>
      </c>
      <c r="C244" t="s">
        <v>58</v>
      </c>
      <c r="D244" t="s">
        <v>5</v>
      </c>
      <c r="E244" t="s">
        <v>1</v>
      </c>
      <c r="F244" t="s">
        <v>40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35">
      <c r="A245">
        <v>2021</v>
      </c>
      <c r="B245">
        <v>9</v>
      </c>
      <c r="C245" t="s">
        <v>58</v>
      </c>
      <c r="D245" t="s">
        <v>5</v>
      </c>
      <c r="E245" t="s">
        <v>1</v>
      </c>
      <c r="F245" t="s">
        <v>32</v>
      </c>
      <c r="G245" t="s">
        <v>9</v>
      </c>
      <c r="H245">
        <v>5</v>
      </c>
      <c r="I245" s="2">
        <v>54.95</v>
      </c>
      <c r="J245" s="2">
        <v>25</v>
      </c>
    </row>
    <row r="246" spans="1:10" x14ac:dyDescent="0.35">
      <c r="A246">
        <v>2021</v>
      </c>
      <c r="B246">
        <v>9</v>
      </c>
      <c r="C246" t="s">
        <v>58</v>
      </c>
      <c r="D246" t="s">
        <v>5</v>
      </c>
      <c r="E246" t="s">
        <v>1</v>
      </c>
      <c r="F246" t="s">
        <v>35</v>
      </c>
      <c r="G246" t="s">
        <v>14</v>
      </c>
      <c r="H246">
        <v>35</v>
      </c>
      <c r="I246" s="2">
        <v>209.65</v>
      </c>
      <c r="J246" s="2">
        <v>70</v>
      </c>
    </row>
    <row r="247" spans="1:10" x14ac:dyDescent="0.35">
      <c r="A247">
        <v>2021</v>
      </c>
      <c r="B247">
        <v>9</v>
      </c>
      <c r="C247" t="s">
        <v>58</v>
      </c>
      <c r="D247" t="s">
        <v>5</v>
      </c>
      <c r="E247" t="s">
        <v>1</v>
      </c>
      <c r="F247" t="s">
        <v>31</v>
      </c>
      <c r="G247" t="s">
        <v>12</v>
      </c>
      <c r="H247">
        <v>15</v>
      </c>
      <c r="I247" s="2">
        <v>299.84999999999997</v>
      </c>
      <c r="J247" s="2">
        <v>89.999999999999972</v>
      </c>
    </row>
    <row r="248" spans="1:10" x14ac:dyDescent="0.35">
      <c r="A248">
        <v>2021</v>
      </c>
      <c r="B248">
        <v>9</v>
      </c>
      <c r="C248" t="s">
        <v>58</v>
      </c>
      <c r="D248" t="s">
        <v>5</v>
      </c>
      <c r="E248" t="s">
        <v>1</v>
      </c>
      <c r="F248" t="s">
        <v>15</v>
      </c>
      <c r="G248" t="s">
        <v>14</v>
      </c>
      <c r="H248">
        <v>47</v>
      </c>
      <c r="I248" s="2">
        <v>1879.5300000000002</v>
      </c>
      <c r="J248" s="2">
        <v>235</v>
      </c>
    </row>
    <row r="249" spans="1:10" x14ac:dyDescent="0.35">
      <c r="A249">
        <v>2021</v>
      </c>
      <c r="B249">
        <v>9</v>
      </c>
      <c r="C249" t="s">
        <v>58</v>
      </c>
      <c r="D249" t="s">
        <v>5</v>
      </c>
      <c r="E249" t="s">
        <v>1</v>
      </c>
      <c r="F249" t="s">
        <v>42</v>
      </c>
      <c r="G249" t="s">
        <v>12</v>
      </c>
      <c r="H249">
        <v>81</v>
      </c>
      <c r="I249" s="2">
        <v>1295.19</v>
      </c>
      <c r="J249" s="2">
        <v>162</v>
      </c>
    </row>
    <row r="250" spans="1:10" x14ac:dyDescent="0.35">
      <c r="A250">
        <v>2021</v>
      </c>
      <c r="B250">
        <v>9</v>
      </c>
      <c r="C250" t="s">
        <v>58</v>
      </c>
      <c r="D250" t="s">
        <v>5</v>
      </c>
      <c r="E250" t="s">
        <v>1</v>
      </c>
      <c r="F250" t="s">
        <v>41</v>
      </c>
      <c r="G250" t="s">
        <v>14</v>
      </c>
      <c r="H250">
        <v>29</v>
      </c>
      <c r="I250" s="2">
        <v>289.70999999999998</v>
      </c>
      <c r="J250" s="2">
        <v>145</v>
      </c>
    </row>
    <row r="251" spans="1:10" x14ac:dyDescent="0.35">
      <c r="A251">
        <v>2021</v>
      </c>
      <c r="B251">
        <v>9</v>
      </c>
      <c r="C251" t="s">
        <v>58</v>
      </c>
      <c r="D251" t="s">
        <v>5</v>
      </c>
      <c r="E251" t="s">
        <v>1</v>
      </c>
      <c r="F251" t="s">
        <v>10</v>
      </c>
      <c r="G251" t="s">
        <v>7</v>
      </c>
      <c r="H251">
        <v>40</v>
      </c>
      <c r="I251" s="2">
        <v>799.59999999999991</v>
      </c>
      <c r="J251" s="2">
        <v>199.99999999999994</v>
      </c>
    </row>
    <row r="252" spans="1:10" x14ac:dyDescent="0.35">
      <c r="A252">
        <v>2021</v>
      </c>
      <c r="B252">
        <v>9</v>
      </c>
      <c r="C252" t="s">
        <v>58</v>
      </c>
      <c r="D252" t="s">
        <v>5</v>
      </c>
      <c r="E252" t="s">
        <v>1</v>
      </c>
      <c r="F252" t="s">
        <v>27</v>
      </c>
      <c r="G252" t="s">
        <v>12</v>
      </c>
      <c r="H252">
        <v>78</v>
      </c>
      <c r="I252" s="2">
        <v>233.22000000000003</v>
      </c>
      <c r="J252" s="2">
        <v>78.000000000000014</v>
      </c>
    </row>
    <row r="253" spans="1:10" x14ac:dyDescent="0.35">
      <c r="A253">
        <v>2021</v>
      </c>
      <c r="B253">
        <v>9</v>
      </c>
      <c r="C253" t="s">
        <v>58</v>
      </c>
      <c r="D253" t="s">
        <v>5</v>
      </c>
      <c r="E253" t="s">
        <v>1</v>
      </c>
      <c r="F253" t="s">
        <v>37</v>
      </c>
      <c r="G253" t="s">
        <v>12</v>
      </c>
      <c r="H253">
        <v>23</v>
      </c>
      <c r="I253" s="2">
        <v>574.77</v>
      </c>
      <c r="J253" s="2">
        <v>92</v>
      </c>
    </row>
    <row r="254" spans="1:10" x14ac:dyDescent="0.35">
      <c r="A254">
        <v>2021</v>
      </c>
      <c r="B254">
        <v>9</v>
      </c>
      <c r="C254" t="s">
        <v>58</v>
      </c>
      <c r="D254" t="s">
        <v>5</v>
      </c>
      <c r="E254" t="s">
        <v>1</v>
      </c>
      <c r="F254" t="s">
        <v>11</v>
      </c>
      <c r="G254" t="s">
        <v>12</v>
      </c>
      <c r="H254">
        <v>16</v>
      </c>
      <c r="I254" s="2">
        <v>79.84</v>
      </c>
      <c r="J254" s="2">
        <v>16</v>
      </c>
    </row>
    <row r="255" spans="1:10" x14ac:dyDescent="0.35">
      <c r="A255">
        <v>2021</v>
      </c>
      <c r="B255">
        <v>9</v>
      </c>
      <c r="C255" t="s">
        <v>58</v>
      </c>
      <c r="D255" t="s">
        <v>5</v>
      </c>
      <c r="E255" t="s">
        <v>1</v>
      </c>
      <c r="F255" t="s">
        <v>45</v>
      </c>
      <c r="G255" t="s">
        <v>12</v>
      </c>
      <c r="H255">
        <v>144</v>
      </c>
      <c r="I255" s="2">
        <v>1582.56</v>
      </c>
      <c r="J255" s="2">
        <v>1008</v>
      </c>
    </row>
    <row r="256" spans="1:10" x14ac:dyDescent="0.35">
      <c r="A256">
        <v>2021</v>
      </c>
      <c r="B256">
        <v>9</v>
      </c>
      <c r="C256" t="s">
        <v>58</v>
      </c>
      <c r="D256" t="s">
        <v>5</v>
      </c>
      <c r="E256" t="s">
        <v>1</v>
      </c>
      <c r="F256" t="s">
        <v>39</v>
      </c>
      <c r="G256" t="s">
        <v>14</v>
      </c>
      <c r="H256">
        <v>14</v>
      </c>
      <c r="I256" s="2">
        <v>279.85999999999996</v>
      </c>
      <c r="J256" s="2">
        <v>153.99999999999997</v>
      </c>
    </row>
    <row r="257" spans="1:10" x14ac:dyDescent="0.35">
      <c r="A257">
        <v>2021</v>
      </c>
      <c r="B257">
        <v>9</v>
      </c>
      <c r="C257" t="s">
        <v>58</v>
      </c>
      <c r="D257" t="s">
        <v>5</v>
      </c>
      <c r="E257" t="s">
        <v>1</v>
      </c>
      <c r="F257" t="s">
        <v>26</v>
      </c>
      <c r="G257" t="s">
        <v>9</v>
      </c>
      <c r="H257">
        <v>14</v>
      </c>
      <c r="I257" s="2">
        <v>279.85999999999996</v>
      </c>
      <c r="J257" s="2">
        <v>28</v>
      </c>
    </row>
    <row r="258" spans="1:10" x14ac:dyDescent="0.35">
      <c r="A258">
        <v>2021</v>
      </c>
      <c r="B258">
        <v>9</v>
      </c>
      <c r="C258" t="s">
        <v>58</v>
      </c>
      <c r="D258" t="s">
        <v>5</v>
      </c>
      <c r="E258" t="s">
        <v>1</v>
      </c>
      <c r="F258" t="s">
        <v>6</v>
      </c>
      <c r="G258" t="s">
        <v>7</v>
      </c>
      <c r="H258">
        <v>153</v>
      </c>
      <c r="I258" s="2">
        <v>1375.47</v>
      </c>
      <c r="J258" s="2">
        <v>153</v>
      </c>
    </row>
    <row r="259" spans="1:10" x14ac:dyDescent="0.35">
      <c r="A259">
        <v>2021</v>
      </c>
      <c r="B259">
        <v>9</v>
      </c>
      <c r="C259" t="s">
        <v>58</v>
      </c>
      <c r="D259" t="s">
        <v>5</v>
      </c>
      <c r="E259" t="s">
        <v>1</v>
      </c>
      <c r="F259" t="s">
        <v>36</v>
      </c>
      <c r="G259" t="s">
        <v>7</v>
      </c>
      <c r="H259">
        <v>15</v>
      </c>
      <c r="I259" s="2">
        <v>224.85</v>
      </c>
      <c r="J259" s="2">
        <v>45</v>
      </c>
    </row>
    <row r="260" spans="1:10" x14ac:dyDescent="0.35">
      <c r="A260">
        <v>2021</v>
      </c>
      <c r="B260">
        <v>9</v>
      </c>
      <c r="C260" t="s">
        <v>58</v>
      </c>
      <c r="D260" t="s">
        <v>5</v>
      </c>
      <c r="E260" t="s">
        <v>1</v>
      </c>
      <c r="F260" t="s">
        <v>23</v>
      </c>
      <c r="G260" t="s">
        <v>21</v>
      </c>
      <c r="H260">
        <v>13</v>
      </c>
      <c r="I260" s="2">
        <v>337.87</v>
      </c>
      <c r="J260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Data Prep</vt:lpstr>
      <vt:lpstr>Dashboard</vt:lpstr>
      <vt:lpstr>New Data (Aug 2021)</vt:lpstr>
      <vt:lpstr>New Data (Sep 2021)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Bushra Nazeer Khan</cp:lastModifiedBy>
  <dcterms:created xsi:type="dcterms:W3CDTF">2021-07-16T18:17:37Z</dcterms:created>
  <dcterms:modified xsi:type="dcterms:W3CDTF">2026-04-08T12:46:11Z</dcterms:modified>
</cp:coreProperties>
</file>